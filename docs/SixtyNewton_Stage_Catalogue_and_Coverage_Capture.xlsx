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tage Catalogue" sheetId="2" state="visible" r:id="rId4"/>
    <sheet name="Coverage (TDS defaults)" sheetId="3" state="visible" r:id="rId5"/>
    <sheet name="Observed Rates" sheetId="4" state="visible" r:id="rId6"/>
  </sheets>
  <definedNames>
    <definedName function="false" hidden="true" localSheetId="2" name="_xlnm._FilterDatabase" vbProcedure="false">'Coverage (TDS defaults)'!$A$5:$V$224</definedName>
    <definedName function="false" hidden="true" localSheetId="3" name="_xlnm._FilterDatabase" vbProcedure="false">'Observed Rates'!$A$3:$G$53</definedName>
    <definedName function="false" hidden="true" localSheetId="1" name="_xlnm._FilterDatabase" vbProcedure="false">'Stage Catalogue'!$A$3:$I$96</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C2" authorId="0">
      <text>
        <r>
          <rPr>
            <sz val="10"/>
            <rFont val="Arial"/>
            <family val="2"/>
          </rPr>
          <t xml:space="preserve">Stated by Tarun: Sixty Newton buys from Lapiz Blue at cost price plus 9%.</t>
        </r>
      </text>
    </comment>
  </commentList>
</comments>
</file>

<file path=xl/sharedStrings.xml><?xml version="1.0" encoding="utf-8"?>
<sst xmlns="http://schemas.openxmlformats.org/spreadsheetml/2006/main" count="3434" uniqueCount="1300">
  <si>
    <t xml:space="preserve">Sixty Newton Cost Calculator: Stage Catalogue and Coverage Capture</t>
  </si>
  <si>
    <t xml:space="preserve">Purpose</t>
  </si>
  <si>
    <t xml:space="preserve">This file is the specification and data-capture stage for the Sixty Newton cost calculator. Tab "Stage Catalogue" lists every stage across the 14 disciplines on 60newton.com with its cost-driver type. Tab "Coverage (TDS defaults)" lists every stocked product family with its Lapiz Blue cost from Zoho Books and a consumption or coverage rate taken from the manufacturer datasheet, each with a confidence grade. Tab "Observed Rates" is the market sanity check drawn from 19 recent quotations.</t>
  </si>
  <si>
    <t xml:space="preserve">How to review</t>
  </si>
  <si>
    <t xml:space="preserve">Nothing needs collecting from anyone. Coverage values are datasheet defaults. Confidence H = standard TDS figure, M = typical value that varies with substrate or trowel, L = estimate to verify (amber cells). Grey rows are products not stocked in Books: enter a purchase price in column L. Yellow cells are blanks that need a value.</t>
  </si>
  <si>
    <t xml:space="preserve">Cost basis</t>
  </si>
  <si>
    <t xml:space="preserve">Material cost to Sixty Newton = Lapiz Blue cost price (Zoho Books purchase_rate, org 719219457, pulled 31 Aug 2026) × intercompany factor 1.09. The factor lives in one cell on "Coverage Capture" (C2) so it can be changed once.</t>
  </si>
  <si>
    <t xml:space="preserve">Coverage unit</t>
  </si>
  <si>
    <t xml:space="preserve">Column N states the unit of the coverage value. Coverage driver: kg per sqm per coat (or per mm where stated). Thickness driver: kg per sqm per mm (or per cm for screeds). Roll or Board: sqm actually covered per roll or board, after laps. Linear: lm per cartridge, sausage or roll for the joint size stated in Notes. Each: pieces per penetration or outlet.</t>
  </si>
  <si>
    <t xml:space="preserve">Cost per sqm column</t>
  </si>
  <si>
    <t xml:space="preserve">Column U computes automatically once Coverage value is entered. It is the material cost per output unit (sqm, lm or each) at Sixty Newton cost, including waste, before labour and margin. Leave it alone.</t>
  </si>
  <si>
    <t xml:space="preserve">Pack size</t>
  </si>
  <si>
    <t xml:space="preserve">Column J was parsed from the Books item name, with manual corrections for 17 items. Where it is blank (yellow) the cost formula cannot run.</t>
  </si>
  <si>
    <t xml:space="preserve">Colour legend</t>
  </si>
  <si>
    <t xml:space="preserve">Yellow fill = blank that needs a value. Amber fill = low-confidence datasheet estimate, verify. Blue text = hardcoded input from Books, TDS or quotes. Black text = formula. Grey rows = product not stocked in Books.</t>
  </si>
  <si>
    <t xml:space="preserve">Grout and adhesive defaults</t>
  </si>
  <si>
    <t xml:space="preserve">Grout consumption assumes 60x120 tile, 3 mm joint (cementitious) or 1.5 mm (epoxy), 10 mm depth. Adhesive assumes 10 mm trowel plus back-butter for large format. The app recomputes these from actual tile inputs using the Mapei formula.</t>
  </si>
  <si>
    <t xml:space="preserve">Data caveats</t>
  </si>
  <si>
    <t xml:space="preserve">Purtop 500 N has duplicate Books entries at 525 and 5,670 for the same drum; 525 looks like a missing zero. 18 core-brand items in Books have zero cost. Units in Books are inconsistent (pcs, PCS, PC). Mapei sells to Lapiz Blue at various pack sizes; the representative item chosen per family is the one with the highest stock on hand.</t>
  </si>
  <si>
    <t xml:space="preserve">Not covered here</t>
  </si>
  <si>
    <t xml:space="preserve">Labour, equipment, site factors and margin are specified in SixtyNewton_Cost_Calculator_Spec.md; implied application rates back-solved from the 19 quotes are in that spec, Section 8.</t>
  </si>
  <si>
    <t xml:space="preserve">Stage catalogue: every billable stage, its cost driver and the formula shape</t>
  </si>
  <si>
    <t xml:space="preserve">#</t>
  </si>
  <si>
    <t xml:space="preserve">Discipline (60newton.com)</t>
  </si>
  <si>
    <t xml:space="preserve">Stage</t>
  </si>
  <si>
    <t xml:space="preserve">Cost driver</t>
  </si>
  <si>
    <t xml:space="preserve">Unit of sale</t>
  </si>
  <si>
    <t xml:space="preserve">Material formula shape</t>
  </si>
  <si>
    <t xml:space="preserve">Labour and time notes (from 60newton.com process steps)</t>
  </si>
  <si>
    <t xml:space="preserve">Books families available (see Coverage Capture)</t>
  </si>
  <si>
    <t xml:space="preserve">Observed quoted rate AED (quote ref)</t>
  </si>
  <si>
    <t xml:space="preserve">Waterproofing</t>
  </si>
  <si>
    <t xml:space="preserve">Site survey and moisture test</t>
  </si>
  <si>
    <t xml:space="preserve">Each or lump</t>
  </si>
  <si>
    <t xml:space="preserve">lump</t>
  </si>
  <si>
    <t xml:space="preserve">none</t>
  </si>
  <si>
    <t xml:space="preserve">Half day; moisture &lt; 4% MC before resin systems</t>
  </si>
  <si>
    <t xml:space="preserve">Substrate preparation (grind, repair, dust extraction)</t>
  </si>
  <si>
    <t xml:space="preserve">Labour and machine</t>
  </si>
  <si>
    <t xml:space="preserve">sqm</t>
  </si>
  <si>
    <t xml:space="preserve">none, consumables only</t>
  </si>
  <si>
    <t xml:space="preserve">1 to 2 days per site page; grinding quoted separately at 15/sqm</t>
  </si>
  <si>
    <t xml:space="preserve">15 (296, 298)</t>
  </si>
  <si>
    <t xml:space="preserve">Primer</t>
  </si>
  <si>
    <t xml:space="preserve">Coverage</t>
  </si>
  <si>
    <t xml:space="preserve">kg/sqm × SN cost/kg × (1+waste)</t>
  </si>
  <si>
    <t xml:space="preserve">2 hr apply, 24 hr cure (calendar, no labour)</t>
  </si>
  <si>
    <t xml:space="preserve">Primer SN, Primer G, Eco Prim Grip Plus, Eco Prim PU 1K, Eco Prim T Plus, weberdry Prime WB/SB, Active Prime Grip</t>
  </si>
  <si>
    <t xml:space="preserve">4 (301, water-based primer)</t>
  </si>
  <si>
    <t xml:space="preserve">Membrane coat 1 (brush or roller)</t>
  </si>
  <si>
    <t xml:space="preserve">kg/sqm/mm × mm × SN cost/kg × (1+waste)</t>
  </si>
  <si>
    <t xml:space="preserve">1 day; 1 mm WFT per site page</t>
  </si>
  <si>
    <t xml:space="preserve">Mapelastic family, Purtop family, Planiseal, weberdry FX, Aquastop, Nitocote CM210, Vetoproof, Hydro Ban</t>
  </si>
  <si>
    <t xml:space="preserve">45 (301 CM210), 95 (299 Purtop), 110 (299 Mapei system), 30 (303 Weber on drywall)</t>
  </si>
  <si>
    <t xml:space="preserve">Reinforcement mesh embed</t>
  </si>
  <si>
    <t xml:space="preserve">Roll</t>
  </si>
  <si>
    <t xml:space="preserve">SN cost/roll ÷ sqm per roll net of lap × (1+waste)</t>
  </si>
  <si>
    <t xml:space="preserve">Same day as coat 1</t>
  </si>
  <si>
    <t xml:space="preserve">Mapenet 150, Mapetex, weberdry Fabric FX</t>
  </si>
  <si>
    <t xml:space="preserve">Membrane coat 2</t>
  </si>
  <si>
    <t xml:space="preserve">as coat 1</t>
  </si>
  <si>
    <t xml:space="preserve">1 day, 24 to 48 hr after coat 1</t>
  </si>
  <si>
    <t xml:space="preserve">Detailing (corners, penetrations, upstands)</t>
  </si>
  <si>
    <t xml:space="preserve">Linear and Each</t>
  </si>
  <si>
    <t xml:space="preserve">lm and nos</t>
  </si>
  <si>
    <t xml:space="preserve">SN cost/roll ÷ lm per roll; gaskets per penetration</t>
  </si>
  <si>
    <t xml:space="preserve">Included in coat days</t>
  </si>
  <si>
    <t xml:space="preserve">Mapeband range, gaskets, Idrostop, Mapeproof Swell</t>
  </si>
  <si>
    <t xml:space="preserve">Cure and flood test</t>
  </si>
  <si>
    <t xml:space="preserve">Labour (light) and calendar</t>
  </si>
  <si>
    <t xml:space="preserve">7 days cementitious, 24 to 72 hr PU; flood test 24 to 48 hr</t>
  </si>
  <si>
    <t xml:space="preserve">WP test noted free in 299</t>
  </si>
  <si>
    <t xml:space="preserve">Protection screed (≥ 50 mm)</t>
  </si>
  <si>
    <t xml:space="preserve">Thickness</t>
  </si>
  <si>
    <t xml:space="preserve">see SL &amp; screed</t>
  </si>
  <si>
    <t xml:space="preserve">1 day + cure</t>
  </si>
  <si>
    <t xml:space="preserve">Topcem, Topcem Pronto, Exeed SCR</t>
  </si>
  <si>
    <t xml:space="preserve">Handover IR and documentation</t>
  </si>
  <si>
    <t xml:space="preserve">1 day</t>
  </si>
  <si>
    <t xml:space="preserve">Bitumen WP</t>
  </si>
  <si>
    <t xml:space="preserve">Bituminous primer</t>
  </si>
  <si>
    <t xml:space="preserve">litre/sqm × SN cost/litre</t>
  </si>
  <si>
    <t xml:space="preserve">1 day, 24 hr cure; 300 to 400 g/sqm per site page</t>
  </si>
  <si>
    <t xml:space="preserve">Polybit Polytex, weberdry Prime SB</t>
  </si>
  <si>
    <t xml:space="preserve">Torch-applied membrane layer 1 (4 mm)</t>
  </si>
  <si>
    <t xml:space="preserve">SN cost/roll ÷ net sqm per roll (100 mm end lap, 150 mm side lap) × (1+waste)</t>
  </si>
  <si>
    <t xml:space="preserve">1 to 2 days</t>
  </si>
  <si>
    <t xml:space="preserve">APP 4 mm, Awazel PY40 L, Bituplus, Polybitroll</t>
  </si>
  <si>
    <t xml:space="preserve">32 (301 Awazel 4 mm SBS)</t>
  </si>
  <si>
    <t xml:space="preserve">Membrane layer 2 offset 50% (where 4+4)</t>
  </si>
  <si>
    <t xml:space="preserve">as layer 1</t>
  </si>
  <si>
    <t xml:space="preserve">Anti-root membrane</t>
  </si>
  <si>
    <t xml:space="preserve">Weber Biflex PL anti-root</t>
  </si>
  <si>
    <t xml:space="preserve">58 (301 anti-root 4 mm)</t>
  </si>
  <si>
    <t xml:space="preserve">Geotextile separator 300 gsm</t>
  </si>
  <si>
    <t xml:space="preserve">SN cost/roll ÷ sqm per roll</t>
  </si>
  <si>
    <t xml:space="preserve">Half day</t>
  </si>
  <si>
    <t xml:space="preserve">Terraco geotextile</t>
  </si>
  <si>
    <t xml:space="preserve">Protection board</t>
  </si>
  <si>
    <t xml:space="preserve">Board</t>
  </si>
  <si>
    <t xml:space="preserve">SN cost/board ÷ sqm per board</t>
  </si>
  <si>
    <t xml:space="preserve">Sopraboard 6 mm</t>
  </si>
  <si>
    <t xml:space="preserve">23 (301 MS30 3 mm board at walls)</t>
  </si>
  <si>
    <t xml:space="preserve">Flood test and IR</t>
  </si>
  <si>
    <t xml:space="preserve">2 to 3 days</t>
  </si>
  <si>
    <t xml:space="preserve">Epoxy flooring</t>
  </si>
  <si>
    <t xml:space="preserve">Moisture test and survey</t>
  </si>
  <si>
    <t xml:space="preserve">Half day; pass &lt; 4% MC</t>
  </si>
  <si>
    <t xml:space="preserve">Shotblast or grind and vacuum</t>
  </si>
  <si>
    <t xml:space="preserve">none, consumables and machine hire</t>
  </si>
  <si>
    <t xml:space="preserve">1 day; CSP profile</t>
  </si>
  <si>
    <t xml:space="preserve">15 (296, 298 grinding)</t>
  </si>
  <si>
    <t xml:space="preserve">Crack and joint repair</t>
  </si>
  <si>
    <t xml:space="preserve">Linear</t>
  </si>
  <si>
    <t xml:space="preserve">lm</t>
  </si>
  <si>
    <t xml:space="preserve">kg per lm × SN cost/kg</t>
  </si>
  <si>
    <t xml:space="preserve">Eporip, Epojet, Mapeflex PU</t>
  </si>
  <si>
    <t xml:space="preserve">2 hr apply, 24 hr cure</t>
  </si>
  <si>
    <t xml:space="preserve">Primer SN, TNS Primer EPW</t>
  </si>
  <si>
    <t xml:space="preserve">Body coat self-levelling 2 to 3 mm</t>
  </si>
  <si>
    <t xml:space="preserve">1 day; spiked roller</t>
  </si>
  <si>
    <t xml:space="preserve">Mapefloor I 300 SL, EP 19 ME, webertec Epo, X-Tech SLU</t>
  </si>
  <si>
    <t xml:space="preserve">45 to 80 (296, epoxy supply and apply)</t>
  </si>
  <si>
    <t xml:space="preserve">Broadcast quartz or flake</t>
  </si>
  <si>
    <t xml:space="preserve">kg/sqm × SN cost/kg</t>
  </si>
  <si>
    <t xml:space="preserve">Quartz 0.5 / 0.9 / 1.2 mm, Mapefloor Binder 930</t>
  </si>
  <si>
    <t xml:space="preserve">65 (273 primer SN + quartz)</t>
  </si>
  <si>
    <t xml:space="preserve">Top sealer × 2 coats (UV-stable PU)</t>
  </si>
  <si>
    <t xml:space="preserve">kg/sqm/coat × 2 × SN cost/kg</t>
  </si>
  <si>
    <t xml:space="preserve">2 days (24 hr between coats)</t>
  </si>
  <si>
    <t xml:space="preserve">Mapefloor Finish 52 W / 53 W / 58 W / 450 ME / HTR, FC 200 ME</t>
  </si>
  <si>
    <t xml:space="preserve">PU-cement heavy duty 6 to 9 mm (F&amp;B, cold rooms)</t>
  </si>
  <si>
    <t xml:space="preserve">kg/sqm/mm × mm × SN cost/kg</t>
  </si>
  <si>
    <t xml:space="preserve">Trowel applied</t>
  </si>
  <si>
    <t xml:space="preserve">Mapefloor CPU/MF, CPU/RT, CPU/TC, Ucrete (not stocked)</t>
  </si>
  <si>
    <t xml:space="preserve">Coving</t>
  </si>
  <si>
    <t xml:space="preserve">Mapefloor CPU/COVE</t>
  </si>
  <si>
    <t xml:space="preserve">Sports and TNS coatings</t>
  </si>
  <si>
    <t xml:space="preserve">kg/sqm/coat × coats × SN cost/kg</t>
  </si>
  <si>
    <t xml:space="preserve">Mapecoat TNS Base, Finish 1/4, Line</t>
  </si>
  <si>
    <t xml:space="preserve">140 (273 cricket pitch SL, product unclear)</t>
  </si>
  <si>
    <t xml:space="preserve">Cure schedule</t>
  </si>
  <si>
    <t xml:space="preserve">Calendar</t>
  </si>
  <si>
    <t xml:space="preserve">Walk-on 24 hr, light service 72 hr, full 7 days</t>
  </si>
  <si>
    <t xml:space="preserve">SL &amp; screed</t>
  </si>
  <si>
    <t xml:space="preserve">Edge banding and dams</t>
  </si>
  <si>
    <t xml:space="preserve">Labour and consumables</t>
  </si>
  <si>
    <t xml:space="preserve">tape and foam per lm</t>
  </si>
  <si>
    <t xml:space="preserve">Substrate primer</t>
  </si>
  <si>
    <t xml:space="preserve">2 hr, 24 hr cure</t>
  </si>
  <si>
    <t xml:space="preserve">Primer G (diluted), Eco Prim Grip, Primer Grip</t>
  </si>
  <si>
    <t xml:space="preserve">Self-levelling compound 3 to 50 mm</t>
  </si>
  <si>
    <t xml:space="preserve">Continuous pump; walk-on 2 to 24 hr</t>
  </si>
  <si>
    <t xml:space="preserve">Ultraplan (7 grades), Nivoplan, Planitop Fast 330</t>
  </si>
  <si>
    <t xml:space="preserve">50 to 58 (298, 300 at 4 to 5 mm); 85 to 88 (298 at 18 mm)</t>
  </si>
  <si>
    <t xml:space="preserve">Cementitious screed 20 to 100 mm</t>
  </si>
  <si>
    <t xml:space="preserve">kg/sqm/cm × cm × SN cost/kg (state sand ratio for Topcem)</t>
  </si>
  <si>
    <t xml:space="preserve">1 to 2 days; 7 day cure</t>
  </si>
  <si>
    <t xml:space="preserve">Topcem, Topcem Pronto, Latascreed, Exeed SCR</t>
  </si>
  <si>
    <t xml:space="preserve">120 to 130 (269, 300 screed up to 10 cm); 205 (299 with anti-fracture membrane)</t>
  </si>
  <si>
    <t xml:space="preserve">Flatness check and handover</t>
  </si>
  <si>
    <t xml:space="preserve">Each</t>
  </si>
  <si>
    <t xml:space="preserve">Vinyl flooring</t>
  </si>
  <si>
    <t xml:space="preserve">SL skim to SR1</t>
  </si>
  <si>
    <t xml:space="preserve">see SL</t>
  </si>
  <si>
    <t xml:space="preserve">Ultraplan</t>
  </si>
  <si>
    <t xml:space="preserve">Moisture barrier</t>
  </si>
  <si>
    <t xml:space="preserve">Coverage or Roll</t>
  </si>
  <si>
    <t xml:space="preserve">Eco Prim PU 1K or sheet</t>
  </si>
  <si>
    <t xml:space="preserve">Planks or sheet</t>
  </si>
  <si>
    <t xml:space="preserve">Bought-in</t>
  </si>
  <si>
    <t xml:space="preserve">supplier quote × (1+markup) × (1+cutting waste)</t>
  </si>
  <si>
    <t xml:space="preserve">Acclimatise 48 hr (no labour); install 1 to 3 days</t>
  </si>
  <si>
    <t xml:space="preserve">Adhesive (glue-down)</t>
  </si>
  <si>
    <t xml:space="preserve">Ultrabond Eco range (in Books, not in this capture)</t>
  </si>
  <si>
    <t xml:space="preserve">Thresholds, skirting, scotia</t>
  </si>
  <si>
    <t xml:space="preserve">Bought-in and Linear</t>
  </si>
  <si>
    <t xml:space="preserve">profile cost per lm</t>
  </si>
  <si>
    <t xml:space="preserve">Profilpas (534 items in Books)</t>
  </si>
  <si>
    <t xml:space="preserve">95/lm skirting (275)</t>
  </si>
  <si>
    <t xml:space="preserve">Tiling &amp; marble</t>
  </si>
  <si>
    <t xml:space="preserve">Substrate flatness verdict SR1/SR2/SR3</t>
  </si>
  <si>
    <t xml:space="preserve">Rule</t>
  </si>
  <si>
    <t xml:space="preserve">SR2 adds SL skim stage; SR3 adds full SL screed stage automatically</t>
  </si>
  <si>
    <t xml:space="preserve">Half day survey</t>
  </si>
  <si>
    <t xml:space="preserve">Dry layout and cutting</t>
  </si>
  <si>
    <t xml:space="preserve">Labour</t>
  </si>
  <si>
    <t xml:space="preserve">blade consumables</t>
  </si>
  <si>
    <t xml:space="preserve">Adhesive (notched + back-butter ≥ 95%)</t>
  </si>
  <si>
    <t xml:space="preserve">kg/sqm × SN cost/kg × (1+waste); kg/sqm depends on trowel and tile format</t>
  </si>
  <si>
    <t xml:space="preserve">Continuous</t>
  </si>
  <si>
    <t xml:space="preserve">Keraflex Maxi S1, Keraflex, Kerabond T + Isolastic, Granirapid, Ultralite, Kerakoll H40, Bioflex, webercol range</t>
  </si>
  <si>
    <t xml:space="preserve">100 incl. grout (261 120x60); 160 (299 Jumeirah Bay); 195 incl. tile (276)</t>
  </si>
  <si>
    <t xml:space="preserve">Tile or stone supply</t>
  </si>
  <si>
    <t xml:space="preserve">supplier quote × (1+markup) × (1+cutting waste); often client supplied</t>
  </si>
  <si>
    <t xml:space="preserve">Grani Marmo, RAK in Books</t>
  </si>
  <si>
    <t xml:space="preserve">tile capped at 55/sqm in 276</t>
  </si>
  <si>
    <t xml:space="preserve">Levelling clips and wedges</t>
  </si>
  <si>
    <t xml:space="preserve">pcs/sqm × SN cost/pc</t>
  </si>
  <si>
    <t xml:space="preserve">Per slab</t>
  </si>
  <si>
    <t xml:space="preserve">Clips 1 to 3 mm, wedges, Peygran</t>
  </si>
  <si>
    <t xml:space="preserve">Sound test</t>
  </si>
  <si>
    <t xml:space="preserve">Per zone</t>
  </si>
  <si>
    <t xml:space="preserve">Cementitious grout</t>
  </si>
  <si>
    <t xml:space="preserve">kg/sqm (tile size, joint width, depth) × SN cost/kg</t>
  </si>
  <si>
    <t xml:space="preserve">Ultracolor Plus, Keracolor FF, Fugabella, weberjoint, Permacolor</t>
  </si>
  <si>
    <t xml:space="preserve">55 (299 grout and sealant)</t>
  </si>
  <si>
    <t xml:space="preserve">Epoxy grout</t>
  </si>
  <si>
    <t xml:space="preserve">kg/sqm × SN cost/kg; Mapei formula (A+B)/(A×B) × joint × depth × 1.6</t>
  </si>
  <si>
    <t xml:space="preserve">Kerapoxy 5/10 kg, Kerapoxy CQ, Easy Design, Fugalite, Spectralock</t>
  </si>
  <si>
    <t xml:space="preserve">55 to 60 (271, 272, 60x120 at 1.5 mm)</t>
  </si>
  <si>
    <t xml:space="preserve">Grout removal (regrout jobs)</t>
  </si>
  <si>
    <t xml:space="preserve">none, blade consumables</t>
  </si>
  <si>
    <t xml:space="preserve">15 (272)</t>
  </si>
  <si>
    <t xml:space="preserve">Perimeter and movement joint sealant</t>
  </si>
  <si>
    <t xml:space="preserve">lm per cartridge × SN cost/cartridge</t>
  </si>
  <si>
    <t xml:space="preserve">Mapesil AC, Mapesil LM, Silicone Color</t>
  </si>
  <si>
    <t xml:space="preserve">Marble pre-seal and impregnator</t>
  </si>
  <si>
    <t xml:space="preserve">sqm per litre × SN cost/litre</t>
  </si>
  <si>
    <t xml:space="preserve">FILA PW10, W68</t>
  </si>
  <si>
    <t xml:space="preserve">Polishing</t>
  </si>
  <si>
    <t xml:space="preserve">Grind, hone, polish grit ladder 30 to 3000</t>
  </si>
  <si>
    <t xml:space="preserve">pads per sqm, water, machine hours</t>
  </si>
  <si>
    <t xml:space="preserve">Honed stops at 400, polished 1500, crystallised 3000</t>
  </si>
  <si>
    <t xml:space="preserve">Diamond pads (tools in Books)</t>
  </si>
  <si>
    <t xml:space="preserve">Crystallise or seal</t>
  </si>
  <si>
    <t xml:space="preserve">FILA sealers</t>
  </si>
  <si>
    <t xml:space="preserve">Microtopping</t>
  </si>
  <si>
    <t xml:space="preserve">Bond test and bonding primer</t>
  </si>
  <si>
    <t xml:space="preserve">Half day, 24 hr cure</t>
  </si>
  <si>
    <t xml:space="preserve">Eco Prim Grip Plus, Primer SN</t>
  </si>
  <si>
    <t xml:space="preserve">Base coat 1 with fibreglass mesh</t>
  </si>
  <si>
    <t xml:space="preserve">Thickness and Roll</t>
  </si>
  <si>
    <t xml:space="preserve">kg/sqm/mm × 1 mm + mesh roll</t>
  </si>
  <si>
    <t xml:space="preserve">Ultratop Loft F, Cementoresina, Mapenet 150</t>
  </si>
  <si>
    <t xml:space="preserve">Base coat 2</t>
  </si>
  <si>
    <t xml:space="preserve">kg/sqm/mm × 1 mm</t>
  </si>
  <si>
    <t xml:space="preserve">Ultratop Loft F</t>
  </si>
  <si>
    <t xml:space="preserve">Finish coat (tonal trowel)</t>
  </si>
  <si>
    <t xml:space="preserve">Ultratop Loft W</t>
  </si>
  <si>
    <t xml:space="preserve">Sand and clean</t>
  </si>
  <si>
    <t xml:space="preserve">abrasives</t>
  </si>
  <si>
    <t xml:space="preserve">PU sealer × 2 (matte, satin, gloss)</t>
  </si>
  <si>
    <t xml:space="preserve">1 day; walk-on 24 hr, full 7 days</t>
  </si>
  <si>
    <t xml:space="preserve">Mapefloor Finish 58 W, Mapelux</t>
  </si>
  <si>
    <t xml:space="preserve">Design concrete</t>
  </si>
  <si>
    <t xml:space="preserve">SL screed if needed</t>
  </si>
  <si>
    <t xml:space="preserve">Topcem, Ultraplan</t>
  </si>
  <si>
    <t xml:space="preserve">Ultratop design pour</t>
  </si>
  <si>
    <t xml:space="preserve">kg/sqm/mm × mm × SN cost/kg + pigment units</t>
  </si>
  <si>
    <t xml:space="preserve">Ultratop Standard/Light/Outdoor, Base Coat, EasyColor</t>
  </si>
  <si>
    <t xml:space="preserve">Stamp or colour-harden</t>
  </si>
  <si>
    <t xml:space="preserve">Labour and Coverage</t>
  </si>
  <si>
    <t xml:space="preserve">Same day</t>
  </si>
  <si>
    <t xml:space="preserve">Wet cure under fleece</t>
  </si>
  <si>
    <t xml:space="preserve">fleece per sqm</t>
  </si>
  <si>
    <t xml:space="preserve">7 days</t>
  </si>
  <si>
    <t xml:space="preserve">Grind and hone ladder</t>
  </si>
  <si>
    <t xml:space="preserve">pads</t>
  </si>
  <si>
    <t xml:space="preserve">Densifier</t>
  </si>
  <si>
    <t xml:space="preserve">litre/sqm × cost</t>
  </si>
  <si>
    <t xml:space="preserve">24 hr cure</t>
  </si>
  <si>
    <t xml:space="preserve">Lithium silicate (not in Books)</t>
  </si>
  <si>
    <t xml:space="preserve">UV-stable PU sealer × 2</t>
  </si>
  <si>
    <t xml:space="preserve">kg/sqm/coat × 2</t>
  </si>
  <si>
    <t xml:space="preserve">2 days</t>
  </si>
  <si>
    <t xml:space="preserve">Mapelux Lucida/Opaca, Finish 58 W</t>
  </si>
  <si>
    <t xml:space="preserve">Sealants</t>
  </si>
  <si>
    <t xml:space="preserve">Joint geometry survey</t>
  </si>
  <si>
    <t xml:space="preserve">2:1 width to depth target</t>
  </si>
  <si>
    <t xml:space="preserve">Backer rod</t>
  </si>
  <si>
    <t xml:space="preserve">lm per roll × cost</t>
  </si>
  <si>
    <t xml:space="preserve">Per joint</t>
  </si>
  <si>
    <t xml:space="preserve">Not in Books</t>
  </si>
  <si>
    <t xml:space="preserve">Masking</t>
  </si>
  <si>
    <t xml:space="preserve">Consumables</t>
  </si>
  <si>
    <t xml:space="preserve">tape per lm</t>
  </si>
  <si>
    <t xml:space="preserve">Primer (where required)</t>
  </si>
  <si>
    <t xml:space="preserve">TDS cure</t>
  </si>
  <si>
    <t xml:space="preserve">Sealant gun-applied and tooled</t>
  </si>
  <si>
    <t xml:space="preserve">ml per lm = W × D; lm per cartridge = cartridge ml ÷ (W×D)</t>
  </si>
  <si>
    <t xml:space="preserve">Per joint; 24 to 72 hr cure</t>
  </si>
  <si>
    <t xml:space="preserve">Mapeflex PU45 FT, PU S25, PU65, PU70 SL, MS45, PS SL/NS, AC4, Mapesil AC</t>
  </si>
  <si>
    <t xml:space="preserve">40/lm (273 PU45 groove filling)</t>
  </si>
  <si>
    <t xml:space="preserve">Painting</t>
  </si>
  <si>
    <t xml:space="preserve">Surface inspection and repair</t>
  </si>
  <si>
    <t xml:space="preserve">Stucco putty 1 to 2 coats, sanded</t>
  </si>
  <si>
    <t xml:space="preserve">sqm per bag per coat → cost/sqm × coats</t>
  </si>
  <si>
    <t xml:space="preserve">Dulux Stucco Plast interior/exterior</t>
  </si>
  <si>
    <t xml:space="preserve">sqm per litre per coat</t>
  </si>
  <si>
    <t xml:space="preserve">4 to 6 hr cure</t>
  </si>
  <si>
    <t xml:space="preserve">Dulux Undercoat, National Acrylic Primer</t>
  </si>
  <si>
    <t xml:space="preserve">Topcoat × 2 with light sand between</t>
  </si>
  <si>
    <t xml:space="preserve">sqm per litre per coat × 2</t>
  </si>
  <si>
    <t xml:space="preserve">2 days + half day sand</t>
  </si>
  <si>
    <t xml:space="preserve">Weathershield Smooth/Texture, EasyClean, Velvet Touch, Jotun Fenomastic, Jotashield, National Matt, Elastocolor</t>
  </si>
  <si>
    <t xml:space="preserve">95 (288 Kerakoll Absolute, labour only)</t>
  </si>
  <si>
    <t xml:space="preserve">Snag, clean-up, handover</t>
  </si>
  <si>
    <t xml:space="preserve">Insulation</t>
  </si>
  <si>
    <t xml:space="preserve">Spray PU foam closed cell</t>
  </si>
  <si>
    <t xml:space="preserve">kg/sqm per 25 mm × thickness; subcontract if no rig</t>
  </si>
  <si>
    <t xml:space="preserve">2 to 5 days</t>
  </si>
  <si>
    <t xml:space="preserve">EPS / XPS / mineral wool boards</t>
  </si>
  <si>
    <t xml:space="preserve">SN cost/board ÷ sqm per board × (1+cutting waste)</t>
  </si>
  <si>
    <t xml:space="preserve">XPS 600x1250x50, Rockwool 600x1200x50</t>
  </si>
  <si>
    <t xml:space="preserve">42.5/sqm (269, XPS 50 mm lump 8,500 on 200 sqm)</t>
  </si>
  <si>
    <t xml:space="preserve">Board adhesive and mechanical fixings</t>
  </si>
  <si>
    <t xml:space="preserve">Coverage and Board</t>
  </si>
  <si>
    <t xml:space="preserve">kg/sqm + fixings/sqm</t>
  </si>
  <si>
    <t xml:space="preserve">Mapetherm AR1</t>
  </si>
  <si>
    <t xml:space="preserve">Detailing and UV topcoat or cladding</t>
  </si>
  <si>
    <t xml:space="preserve">Repair</t>
  </si>
  <si>
    <t xml:space="preserve">Site survey and NDT (crack width, half-cell, carbonation, cover)</t>
  </si>
  <si>
    <t xml:space="preserve">Root-cause report and method statement</t>
  </si>
  <si>
    <t xml:space="preserve">2 to 3 days + 1 to 2 days</t>
  </si>
  <si>
    <t xml:space="preserve">Chip back, clean, treat rebar</t>
  </si>
  <si>
    <t xml:space="preserve">sqm or lm</t>
  </si>
  <si>
    <t xml:space="preserve">Mapefer kg per lm rebar</t>
  </si>
  <si>
    <t xml:space="preserve">Mapefer 1K Zero, Mapefer</t>
  </si>
  <si>
    <t xml:space="preserve">Crack injection epoxy or PU</t>
  </si>
  <si>
    <t xml:space="preserve">lm and packers</t>
  </si>
  <si>
    <t xml:space="preserve">kg per lm × SN cost/kg + packers</t>
  </si>
  <si>
    <t xml:space="preserve">1 to 5 days</t>
  </si>
  <si>
    <t xml:space="preserve">Eporip, Epojet LV; Carbofix PU not in Books</t>
  </si>
  <si>
    <t xml:space="preserve">Repair mortar (spalls)</t>
  </si>
  <si>
    <t xml:space="preserve">kg/sqm/cm × cm × SN cost/kg</t>
  </si>
  <si>
    <t xml:space="preserve">1 to 5 days; 3 to 7 day wet cure</t>
  </si>
  <si>
    <t xml:space="preserve">Mapegrout T60/T80/SV/Thixotropic, Planitop 200/400, Renderoc HS/FC/LA</t>
  </si>
  <si>
    <t xml:space="preserve">Leak plugging</t>
  </si>
  <si>
    <t xml:space="preserve">nos</t>
  </si>
  <si>
    <t xml:space="preserve">kg per leak point</t>
  </si>
  <si>
    <t xml:space="preserve">Sika MonoTop 108</t>
  </si>
  <si>
    <t xml:space="preserve">CFRP strengthening</t>
  </si>
  <si>
    <t xml:space="preserve">Roll and Coverage</t>
  </si>
  <si>
    <t xml:space="preserve">lm of wrap</t>
  </si>
  <si>
    <t xml:space="preserve">fabric lm per roll + primer kg/sqm + saturant kg/sqm</t>
  </si>
  <si>
    <t xml:space="preserve">Engineer-signed scheme</t>
  </si>
  <si>
    <t xml:space="preserve">MapeWrap C Uni-Ax, Primer 1, MapeWrap 31, 21, Fiocco</t>
  </si>
  <si>
    <t xml:space="preserve">Surface restoration to match</t>
  </si>
  <si>
    <t xml:space="preserve">Cross-discipline</t>
  </si>
  <si>
    <t xml:space="preserve">Demolition and removal (tile, screed, grout, carpet, wallpaper)</t>
  </si>
  <si>
    <t xml:space="preserve">sqm or lump</t>
  </si>
  <si>
    <t xml:space="preserve">none, disposal skips</t>
  </si>
  <si>
    <t xml:space="preserve">75/sqm (269, 15,000 on 200 sqm); 86/sqm (299, 30,000 on 350 sqm); 1,800 per washroom (181)</t>
  </si>
  <si>
    <t xml:space="preserve">Garbage disposal and protection</t>
  </si>
  <si>
    <t xml:space="preserve">skip hire + protection sheeting</t>
  </si>
  <si>
    <t xml:space="preserve">42,000 lump (299); usually pushed to main contractor</t>
  </si>
  <si>
    <t xml:space="preserve">Scaffolding and access</t>
  </si>
  <si>
    <t xml:space="preserve">hire quote × (1+markup) × duration</t>
  </si>
  <si>
    <t xml:space="preserve">duration-driven: stretches with restricted hours</t>
  </si>
  <si>
    <t xml:space="preserve">15,000 lump (299); usually by client</t>
  </si>
  <si>
    <t xml:space="preserve">Mobilisation and transport</t>
  </si>
  <si>
    <t xml:space="preserve">per trip × trips; island and out-of-Dubai premium</t>
  </si>
  <si>
    <t xml:space="preserve">duration-driven</t>
  </si>
  <si>
    <t xml:space="preserve">"valid for Dubai" note in 296</t>
  </si>
  <si>
    <t xml:space="preserve">Permits, gate pass, NOC</t>
  </si>
  <si>
    <t xml:space="preserve">pushed to client in T&amp;Cs</t>
  </si>
  <si>
    <t xml:space="preserve">Bought-in finishes (carpet, wallpaper, wooden floor, doors)</t>
  </si>
  <si>
    <t xml:space="preserve">sqm or each</t>
  </si>
  <si>
    <t xml:space="preserve">supplier quote × (1+markup)</t>
  </si>
  <si>
    <t xml:space="preserve">645 carpet, 135 wallpaper, 352 wooden floor per sqm (274, 275); 1,700 / 450 per door (276)</t>
  </si>
  <si>
    <t xml:space="preserve">Packaged small works (per washroom)</t>
  </si>
  <si>
    <t xml:space="preserve">sum of stage costs for a standard washroom</t>
  </si>
  <si>
    <t xml:space="preserve">1,800 / 2,600 / 1,650 per washroom (181)</t>
  </si>
  <si>
    <t xml:space="preserve">Coverage defaults from manufacturer datasheets: review amber and grey rows, correct where site practice differs</t>
  </si>
  <si>
    <t xml:space="preserve">Intercompany factor (Sixty Newton cost = Books cost × this)</t>
  </si>
  <si>
    <t xml:space="preserve">Books cost source: Zoho Books org 719219457 (Lapiz Blue General Trading LLC), Items list, pulled 31 Aug 2026. Representative item per family = highest stock on hand.</t>
  </si>
  <si>
    <t xml:space="preserve">Rows: 219 product families (202 priced from Books, 17 need manual price). Coverage filled:</t>
  </si>
  <si>
    <t xml:space="preserve">Formula: Coverage and Thickness drivers = SN cost ÷ pack qty × coverage × coats/thickness × (1+waste). Roll, Board, Linear, Each drivers = SN cost ÷ (units covered per pack) × multiplier × (1+waste).</t>
  </si>
  <si>
    <t xml:space="preserve">Discipline</t>
  </si>
  <si>
    <t xml:space="preserve">Product family</t>
  </si>
  <si>
    <t xml:space="preserve">Books item (representative)</t>
  </si>
  <si>
    <t xml:space="preserve">SKU</t>
  </si>
  <si>
    <t xml:space="preserve">Brand</t>
  </si>
  <si>
    <t xml:space="preserve">Variants in Books</t>
  </si>
  <si>
    <t xml:space="preserve">Pack qty</t>
  </si>
  <si>
    <t xml:space="preserve">Pack unit</t>
  </si>
  <si>
    <t xml:space="preserve">Books cost per pack (AED)</t>
  </si>
  <si>
    <t xml:space="preserve">SN cost per pack (AED)</t>
  </si>
  <si>
    <t xml:space="preserve">Coverage unit required</t>
  </si>
  <si>
    <t xml:space="preserve">Coverage value</t>
  </si>
  <si>
    <t xml:space="preserve">Coats, mm or cm (multiplier)</t>
  </si>
  <si>
    <t xml:space="preserve">Waste %</t>
  </si>
  <si>
    <t xml:space="preserve">Conditions and notes</t>
  </si>
  <si>
    <t xml:space="preserve">Source</t>
  </si>
  <si>
    <t xml:space="preserve">Confidence</t>
  </si>
  <si>
    <t xml:space="preserve">Material cost per output unit at SN cost (AED)</t>
  </si>
  <si>
    <t xml:space="preserve">Stock on hand (Books)</t>
  </si>
  <si>
    <t xml:space="preserve">Mapei Primer SN (epoxy primer)</t>
  </si>
  <si>
    <t xml:space="preserve">Primer SN A+B 20 KG</t>
  </si>
  <si>
    <t xml:space="preserve">A:21520(16.0kg)+B:21620(4.0kg)</t>
  </si>
  <si>
    <t xml:space="preserve">MAPEI</t>
  </si>
  <si>
    <t xml:space="preserve">kg</t>
  </si>
  <si>
    <t xml:space="preserve">kg/sqm</t>
  </si>
  <si>
    <t xml:space="preserve">0.3 to 0.5 kg/sqm on ground concrete</t>
  </si>
  <si>
    <t xml:space="preserve">tds</t>
  </si>
  <si>
    <t xml:space="preserve">H</t>
  </si>
  <si>
    <t xml:space="preserve">Mapei Primer G</t>
  </si>
  <si>
    <t xml:space="preserve">Primer G jerrycan 25kg</t>
  </si>
  <si>
    <t xml:space="preserve">20125</t>
  </si>
  <si>
    <t xml:space="preserve">diluted 1:1 to 1:3, 0.1 to 0.2 kg/sqm</t>
  </si>
  <si>
    <t xml:space="preserve">Mapei Eco Prim Grip Plus</t>
  </si>
  <si>
    <t xml:space="preserve">Eco Prim Grip Plus bucket 10kg</t>
  </si>
  <si>
    <t xml:space="preserve">1560110</t>
  </si>
  <si>
    <t xml:space="preserve">0.2 to 0.3 kg/sqm</t>
  </si>
  <si>
    <t xml:space="preserve">Mapei Eco Prim PU 1K</t>
  </si>
  <si>
    <t xml:space="preserve">Eco Prim PU 1K bucket 10kg</t>
  </si>
  <si>
    <t xml:space="preserve">233010</t>
  </si>
  <si>
    <t xml:space="preserve">0.15 to 0.3 kg/sqm depending on porosity</t>
  </si>
  <si>
    <t xml:space="preserve">M</t>
  </si>
  <si>
    <t xml:space="preserve">Mapei Eco Prim T Plus</t>
  </si>
  <si>
    <t xml:space="preserve">Eco Prim T Plus jerrycan 20kg</t>
  </si>
  <si>
    <t xml:space="preserve">1558220</t>
  </si>
  <si>
    <t xml:space="preserve">Weber weberdry Prime WB</t>
  </si>
  <si>
    <t xml:space="preserve">weberdry Prime WB (15 Lt)</t>
  </si>
  <si>
    <t xml:space="preserve">I000001178</t>
  </si>
  <si>
    <t xml:space="preserve">WEBER</t>
  </si>
  <si>
    <t xml:space="preserve">L</t>
  </si>
  <si>
    <t xml:space="preserve">litre/sqm</t>
  </si>
  <si>
    <t xml:space="preserve">L/sqm</t>
  </si>
  <si>
    <t xml:space="preserve">Weber weberdry Prime SB</t>
  </si>
  <si>
    <t xml:space="preserve">weberdry Prime SB (200 Lt)</t>
  </si>
  <si>
    <t xml:space="preserve">I000001036</t>
  </si>
  <si>
    <t xml:space="preserve">Kerakoll Active Prime Grip</t>
  </si>
  <si>
    <t xml:space="preserve">Active Prime Grip 10KG</t>
  </si>
  <si>
    <t xml:space="preserve">KERAKOLLGrip</t>
  </si>
  <si>
    <t xml:space="preserve">Kerakoll</t>
  </si>
  <si>
    <t xml:space="preserve">Membrane</t>
  </si>
  <si>
    <t xml:space="preserve">Mapei Mapelastic (A+B 32 kg)</t>
  </si>
  <si>
    <t xml:space="preserve">MAPELASTIC A + B BAGS 32 KG</t>
  </si>
  <si>
    <t xml:space="preserve">167124 a+b</t>
  </si>
  <si>
    <t xml:space="preserve">kg/sqm per mm</t>
  </si>
  <si>
    <t xml:space="preserve">kg/sqm/mm, 2 mm total</t>
  </si>
  <si>
    <t xml:space="preserve">Mapei Mapelastic Smart</t>
  </si>
  <si>
    <t xml:space="preserve">MAPELASTIC SMART /A+B BAGS 30 KG</t>
  </si>
  <si>
    <t xml:space="preserve">A:167730(20.0kg)+B:168730(10.0kg)</t>
  </si>
  <si>
    <t xml:space="preserve">2 mm in two coats</t>
  </si>
  <si>
    <t xml:space="preserve">Mapei Mapelastic Foundation</t>
  </si>
  <si>
    <t xml:space="preserve">[A+B] MAPELASTIC FOUNDATION A + B</t>
  </si>
  <si>
    <t xml:space="preserve">A:168332(22.0kg)+B:168432(10.0kg)</t>
  </si>
  <si>
    <t xml:space="preserve">2 mm</t>
  </si>
  <si>
    <t xml:space="preserve">Mapei Mapelastic Aquadefense Zero</t>
  </si>
  <si>
    <t xml:space="preserve">Mapelastic Aquadefense Zero bucket 15kg</t>
  </si>
  <si>
    <t xml:space="preserve">1674915</t>
  </si>
  <si>
    <t xml:space="preserve">kg/sqm per coat</t>
  </si>
  <si>
    <t xml:space="preserve">two coats</t>
  </si>
  <si>
    <t xml:space="preserve">Mapei Mapelastic Zero (A+B)</t>
  </si>
  <si>
    <t xml:space="preserve">Mapelastic Zero /A bag 24kg</t>
  </si>
  <si>
    <t xml:space="preserve">1675732</t>
  </si>
  <si>
    <t xml:space="preserve">Mapei Mapelastic Easy (A+B 24 kg)</t>
  </si>
  <si>
    <t xml:space="preserve">MAPELASTIC EASY A+B - 24KG</t>
  </si>
  <si>
    <t xml:space="preserve">A:1675224(18.0kg)+B:1675324(6.0kg)</t>
  </si>
  <si>
    <t xml:space="preserve">Mapei Mapegum WPS</t>
  </si>
  <si>
    <t xml:space="preserve">Mapegum WPS bucket 20kg</t>
  </si>
  <si>
    <t xml:space="preserve">124820</t>
  </si>
  <si>
    <t xml:space="preserve">two coats, ~1.5 kg total for 1 mm</t>
  </si>
  <si>
    <t xml:space="preserve">Mapei Planiseal 88</t>
  </si>
  <si>
    <t xml:space="preserve">Planiseal 88 Grey bag 25kg</t>
  </si>
  <si>
    <t xml:space="preserve">937025</t>
  </si>
  <si>
    <t xml:space="preserve">Mapei Planiseal 288 (A+B)</t>
  </si>
  <si>
    <t xml:space="preserve">[A+B] PLANISEAL 288 A+B GREY 25 KG</t>
  </si>
  <si>
    <t xml:space="preserve">A:782025(20.0kg)+B:782125(5.0kg)</t>
  </si>
  <si>
    <t xml:space="preserve">Mapei Idrosilex Pronto</t>
  </si>
  <si>
    <t xml:space="preserve">NOT IN BOOKS</t>
  </si>
  <si>
    <t xml:space="preserve">Enter purchase price manually. two coats; not stocked</t>
  </si>
  <si>
    <t xml:space="preserve">Mapei Purtop 500 N (A+B drum)</t>
  </si>
  <si>
    <t xml:space="preserve">Purtop 500 N (A+B) Grey drum (225kg+225kg)(450kg)</t>
  </si>
  <si>
    <t xml:space="preserve">PartA:4UH1539179  PartB:4UH999979</t>
  </si>
  <si>
    <t xml:space="preserve">kg/sqm/mm sprayed, 2 mm, 8% overspray</t>
  </si>
  <si>
    <t xml:space="preserve">Mapei Purtop 1000 N (A+B)</t>
  </si>
  <si>
    <t xml:space="preserve">Purtop 1000 N /A+B Grey drum 450 KG</t>
  </si>
  <si>
    <t xml:space="preserve">2 mm sprayed</t>
  </si>
  <si>
    <t xml:space="preserve">Mapei Purtop Easy</t>
  </si>
  <si>
    <t xml:space="preserve">Purtop Easy Grey bucket 25kg</t>
  </si>
  <si>
    <t xml:space="preserve">4UE1539125</t>
  </si>
  <si>
    <t xml:space="preserve">2 mm hand applied</t>
  </si>
  <si>
    <t xml:space="preserve">Mapei Purtop 200 (A+B set)</t>
  </si>
  <si>
    <t xml:space="preserve">Purtop 200 /A bucket 8kg+6kg</t>
  </si>
  <si>
    <t xml:space="preserve">1.5 mm</t>
  </si>
  <si>
    <t xml:space="preserve">Mapei Mapecoat I W (epoxy, tanks)</t>
  </si>
  <si>
    <t xml:space="preserve">Fosroc Nitocote CM210</t>
  </si>
  <si>
    <t xml:space="preserve">FOSROC NITOCOTE CM210 GREY 23KG</t>
  </si>
  <si>
    <t xml:space="preserve">CM210</t>
  </si>
  <si>
    <t xml:space="preserve">FOSROC</t>
  </si>
  <si>
    <t xml:space="preserve">Weber weberdry 116 FX</t>
  </si>
  <si>
    <t xml:space="preserve">weberdry 116 FX Grey Kit (18 Kg)</t>
  </si>
  <si>
    <t xml:space="preserve">I000002122</t>
  </si>
  <si>
    <t xml:space="preserve">Weber weberdry 110 FX</t>
  </si>
  <si>
    <t xml:space="preserve">weberdry 110 FX Grey Kit (24.80 Kg)</t>
  </si>
  <si>
    <t xml:space="preserve">I000002287</t>
  </si>
  <si>
    <t xml:space="preserve">Weber weberdry 136 FX</t>
  </si>
  <si>
    <t xml:space="preserve">weberdry 136 FX Grey Kit (22.5Kg)</t>
  </si>
  <si>
    <t xml:space="preserve">I000000943</t>
  </si>
  <si>
    <t xml:space="preserve">Weber weberdry 130 PR</t>
  </si>
  <si>
    <t xml:space="preserve">weberdry 130 PR Grey Kit (32.5Kg )</t>
  </si>
  <si>
    <t xml:space="preserve">I000000927</t>
  </si>
  <si>
    <t xml:space="preserve">two coats, mortar type</t>
  </si>
  <si>
    <t xml:space="preserve">Weber weberdry 360 PU</t>
  </si>
  <si>
    <t xml:space="preserve">weberdry 360 Pu Black ( 25 Kg )</t>
  </si>
  <si>
    <t xml:space="preserve">I000000134</t>
  </si>
  <si>
    <t xml:space="preserve">Weber weberdry 150 BLC</t>
  </si>
  <si>
    <t xml:space="preserve">weberdry 150 BLC (5 Kg)</t>
  </si>
  <si>
    <t xml:space="preserve">I000002169</t>
  </si>
  <si>
    <t xml:space="preserve">Kerakoll Aquastop Nanoflex</t>
  </si>
  <si>
    <t xml:space="preserve">AQUASTOP NANOFLEX 20KG</t>
  </si>
  <si>
    <t xml:space="preserve">1107</t>
  </si>
  <si>
    <t xml:space="preserve">Kerakoll Aquastop Flex (A+B)</t>
  </si>
  <si>
    <t xml:space="preserve">AQUASTOP FLEX 17.5kg. (A+B)</t>
  </si>
  <si>
    <t xml:space="preserve">KB0009</t>
  </si>
  <si>
    <t xml:space="preserve">Laticrete Hydro Ban</t>
  </si>
  <si>
    <t xml:space="preserve">HYDRO BAN  18.9 L</t>
  </si>
  <si>
    <t xml:space="preserve">LATICRETE</t>
  </si>
  <si>
    <t xml:space="preserve">litre/sqm per coat</t>
  </si>
  <si>
    <t xml:space="preserve">L/sqm per coat, two coats</t>
  </si>
  <si>
    <t xml:space="preserve">Saveto Vetoproof CM745 (A+B)</t>
  </si>
  <si>
    <t xml:space="preserve">Vetoproof CM745-(A+B)28kg Grey</t>
  </si>
  <si>
    <t xml:space="preserve">VETONIT</t>
  </si>
  <si>
    <t xml:space="preserve">Saveto Vetoproof AZL</t>
  </si>
  <si>
    <t xml:space="preserve">Vetoproof AZL 20kg</t>
  </si>
  <si>
    <t xml:space="preserve">Reinforcement</t>
  </si>
  <si>
    <t xml:space="preserve">Mapei Mapenet 150 (1x50 m)</t>
  </si>
  <si>
    <t xml:space="preserve">Mapenet 150 roll 1x50mt</t>
  </si>
  <si>
    <t xml:space="preserve">1781150</t>
  </si>
  <si>
    <t xml:space="preserve">sqm covered per roll (net of lap)</t>
  </si>
  <si>
    <t xml:space="preserve">50 sqm gross, 10% lap</t>
  </si>
  <si>
    <t xml:space="preserve">Mapei Mapetex Sel (25x1 m)</t>
  </si>
  <si>
    <t xml:space="preserve">Mapetex Sel N 25x1mt roll 25 MTR</t>
  </si>
  <si>
    <t xml:space="preserve">2816325</t>
  </si>
  <si>
    <t xml:space="preserve">sqm covered per roll</t>
  </si>
  <si>
    <t xml:space="preserve">25 sqm gross, 10% lap</t>
  </si>
  <si>
    <t xml:space="preserve">Weber weberdry Fabric FX (50 lm)</t>
  </si>
  <si>
    <t xml:space="preserve">weberdry fabric FX (50Lm)</t>
  </si>
  <si>
    <t xml:space="preserve">I000002396</t>
  </si>
  <si>
    <t xml:space="preserve">assumes 1 m wide, 10% lap</t>
  </si>
  <si>
    <t xml:space="preserve">Detailing</t>
  </si>
  <si>
    <t xml:space="preserve">Mapei Mapeband Easy H130 (30 m)</t>
  </si>
  <si>
    <t xml:space="preserve">Mapeband Easy H130 roll 30mt</t>
  </si>
  <si>
    <t xml:space="preserve">7972030</t>
  </si>
  <si>
    <t xml:space="preserve">lm per roll</t>
  </si>
  <si>
    <t xml:space="preserve">Mapei Mapeband H 12cm (50 m)</t>
  </si>
  <si>
    <t xml:space="preserve">Mapeband H. 12cm roll 50mt</t>
  </si>
  <si>
    <t xml:space="preserve">795550</t>
  </si>
  <si>
    <t xml:space="preserve">Mapei Mapeband PE 120 (50 m)</t>
  </si>
  <si>
    <t xml:space="preserve">Mapeband PE 120 roll 50mt</t>
  </si>
  <si>
    <t xml:space="preserve">7953050</t>
  </si>
  <si>
    <t xml:space="preserve">Mapei Mapeband TPE 170 (30 m)</t>
  </si>
  <si>
    <t xml:space="preserve">Mapeband TPE 170 roll 30mt /98.43ft</t>
  </si>
  <si>
    <t xml:space="preserve">795130</t>
  </si>
  <si>
    <t xml:space="preserve">Mapei Mapeband gasket 120x120</t>
  </si>
  <si>
    <t xml:space="preserve">MAPEBAND GASKETS 120X120M</t>
  </si>
  <si>
    <t xml:space="preserve">pcs per penetration</t>
  </si>
  <si>
    <t xml:space="preserve">one per penetration</t>
  </si>
  <si>
    <t xml:space="preserve">Mapei Mapeband gasket for outlets 40x40</t>
  </si>
  <si>
    <t xml:space="preserve">MAPEBAND GASKET FOR OUTLETS 40X40 CM</t>
  </si>
  <si>
    <t xml:space="preserve">795701</t>
  </si>
  <si>
    <t xml:space="preserve">pcs</t>
  </si>
  <si>
    <t xml:space="preserve">pcs per outlet</t>
  </si>
  <si>
    <t xml:space="preserve">one per outlet</t>
  </si>
  <si>
    <t xml:space="preserve">Mapei Idrostop 10 hydrophilic strip (10 m)</t>
  </si>
  <si>
    <t xml:space="preserve">Idrostop 10 (20x10) roll 10mt (box of 6)</t>
  </si>
  <si>
    <t xml:space="preserve">176160</t>
  </si>
  <si>
    <t xml:space="preserve">Mapei Idrostop PVC BE 25 waterstop (15 m)</t>
  </si>
  <si>
    <t xml:space="preserve">Idrostop PVC BEC ME 25 roll 15mt</t>
  </si>
  <si>
    <t xml:space="preserve">1770515</t>
  </si>
  <si>
    <t xml:space="preserve">Mapei Mapeproof Swell (320 ml)</t>
  </si>
  <si>
    <t xml:space="preserve">Mapeproof Swell crt 320ml (box of 6)</t>
  </si>
  <si>
    <t xml:space="preserve">2821126</t>
  </si>
  <si>
    <t xml:space="preserve">lm per cartridge</t>
  </si>
  <si>
    <t xml:space="preserve">6 mm bead</t>
  </si>
  <si>
    <t xml:space="preserve">Top coat</t>
  </si>
  <si>
    <t xml:space="preserve">Mapei Mapecoat PU 15 / aliphatic PU topcoat</t>
  </si>
  <si>
    <t xml:space="preserve">NATIONAL ALIPHATIC POLYURETHANE HB(A+B)</t>
  </si>
  <si>
    <t xml:space="preserve">NATIONAL</t>
  </si>
  <si>
    <t xml:space="preserve">X-Calibur PolyU 600 (liquid PU)</t>
  </si>
  <si>
    <t xml:space="preserve">On 60newton.com as recommended wet-area system; 1.5 kg/sqm total per site copy. 1.5 kg total per site page</t>
  </si>
  <si>
    <t xml:space="preserve">X-Calibur PolyU 800</t>
  </si>
  <si>
    <t xml:space="preserve">On 60newton.com. </t>
  </si>
  <si>
    <t xml:space="preserve">Bituminous primer (Polybit Polyprime / weberdry Prime SB)</t>
  </si>
  <si>
    <t xml:space="preserve">POLYPRIME SB 200 LTR</t>
  </si>
  <si>
    <t xml:space="preserve">1479863</t>
  </si>
  <si>
    <t xml:space="preserve">HENKEL</t>
  </si>
  <si>
    <t xml:space="preserve">L/sqm; site page says 300 to 400 g/sqm</t>
  </si>
  <si>
    <t xml:space="preserve">APP modified bitumen 4 mm (1x10 m)</t>
  </si>
  <si>
    <t xml:space="preserve">APP MODIFIED BITUMEN MEMBRANE 4mm 1 x 10m SHEET - GULF SHIELD</t>
  </si>
  <si>
    <t xml:space="preserve">GULF SHIELD</t>
  </si>
  <si>
    <t xml:space="preserve">sqm per roll net of laps</t>
  </si>
  <si>
    <t xml:space="preserve">10 sqm gross, 100/150 mm laps</t>
  </si>
  <si>
    <t xml:space="preserve">Awazel PY40 L 4 mm SBS</t>
  </si>
  <si>
    <t xml:space="preserve">AWAZEL PY 40 L</t>
  </si>
  <si>
    <t xml:space="preserve">4 mm thick, SBS modified bituminous membrane, reinforced with non woven polyester mat</t>
  </si>
  <si>
    <t xml:space="preserve">Others</t>
  </si>
  <si>
    <t xml:space="preserve">assumes 1x10 m roll</t>
  </si>
  <si>
    <t xml:space="preserve">Weber Biflex PL anti-root 4 mm (10 sqm)</t>
  </si>
  <si>
    <t xml:space="preserve">Biflex PL anti-root 4mm/180 (10 M2)</t>
  </si>
  <si>
    <t xml:space="preserve">I000001368</t>
  </si>
  <si>
    <t xml:space="preserve">Polybit Bituplus E 4180</t>
  </si>
  <si>
    <t xml:space="preserve">BITUPLUS E 4180 POLYBIT</t>
  </si>
  <si>
    <t xml:space="preserve">Polybit Polybitroll</t>
  </si>
  <si>
    <t xml:space="preserve">POLYBITROLL WATERPROOF</t>
  </si>
  <si>
    <t xml:space="preserve">Henkel Polyflex 15 kg + 5 L (liquid bitumen)</t>
  </si>
  <si>
    <t xml:space="preserve">POLYFLEX 15KG + 5L - WHITE</t>
  </si>
  <si>
    <t xml:space="preserve">POLYBIT</t>
  </si>
  <si>
    <t xml:space="preserve">Protection</t>
  </si>
  <si>
    <t xml:space="preserve">Geotextile non-woven (1x50 m)</t>
  </si>
  <si>
    <t xml:space="preserve">TERRACO NON WOVEN GEOTEXTILE 85GSM (1 X 50MTR)</t>
  </si>
  <si>
    <t xml:space="preserve">sqm per roll</t>
  </si>
  <si>
    <t xml:space="preserve">10% lap</t>
  </si>
  <si>
    <t xml:space="preserve">Protection board Sopraboard 6 mm (1x2 m)</t>
  </si>
  <si>
    <t xml:space="preserve">PROTECTION BOARD Sopraboard sf 6mm 1X2X6</t>
  </si>
  <si>
    <t xml:space="preserve">sqm per board</t>
  </si>
  <si>
    <t xml:space="preserve">cutting loss</t>
  </si>
  <si>
    <t xml:space="preserve">Drainage</t>
  </si>
  <si>
    <t xml:space="preserve">Mapei Polyfond Kit Drain (2x20 m)</t>
  </si>
  <si>
    <t xml:space="preserve">Polyfond Kit Drain 2x20mt roll 40sm</t>
  </si>
  <si>
    <t xml:space="preserve">76533005002</t>
  </si>
  <si>
    <t xml:space="preserve">Mapei Polyfond / Polyplan APP 4 mm</t>
  </si>
  <si>
    <t xml:space="preserve">On 60newton.com; not in Books. 1x10 m roll assumed</t>
  </si>
  <si>
    <t xml:space="preserve">Mapei Mapecoat TNS Primer EPW (A+B)</t>
  </si>
  <si>
    <t xml:space="preserve">[A+B] MAPECOAT TNS PRIMER EPW /A+B 10KG</t>
  </si>
  <si>
    <t xml:space="preserve">A:2456410(2.0kg)+B:2456510(8.0kg)</t>
  </si>
  <si>
    <t xml:space="preserve">Mapei Mapefloor I 900 / I 910 primer</t>
  </si>
  <si>
    <t xml:space="preserve">Enter purchase price manually. not stocked</t>
  </si>
  <si>
    <t xml:space="preserve">Body coat</t>
  </si>
  <si>
    <t xml:space="preserve">Mapei Mapefloor I 300 SL (A+B+C 47 kg)</t>
  </si>
  <si>
    <t xml:space="preserve">Mapefloor I 300 SL ME /A+B+C RAL 6034 bucket 47kg</t>
  </si>
  <si>
    <t xml:space="preserve">5GW211522</t>
  </si>
  <si>
    <t xml:space="preserve">kg/sqm/mm, 2 mm</t>
  </si>
  <si>
    <t xml:space="preserve">Mapei Mapefloor EP 19 ME (A+B+C mortar)</t>
  </si>
  <si>
    <t xml:space="preserve">MAPEFLOOR EP 19 ME/A+B+C 26,4 KG</t>
  </si>
  <si>
    <t xml:space="preserve">A:2402126(1.6kg)+B:2402226(0.8kg)+C:2402326(24.0kg)</t>
  </si>
  <si>
    <t xml:space="preserve">3 mm mortar</t>
  </si>
  <si>
    <t xml:space="preserve">Mapei Mapefloor Binder 930 (broadcast binder)</t>
  </si>
  <si>
    <t xml:space="preserve">Mapefloor Binder 930 bucket 5kg</t>
  </si>
  <si>
    <t xml:space="preserve">2588105</t>
  </si>
  <si>
    <t xml:space="preserve">Broadcast</t>
  </si>
  <si>
    <t xml:space="preserve">Quartz sand 0.5 mm (25 kg)</t>
  </si>
  <si>
    <t xml:space="preserve">Quartz 0.5mm bag 25kg</t>
  </si>
  <si>
    <t xml:space="preserve">2388525</t>
  </si>
  <si>
    <t xml:space="preserve">broadcast to excess, part recovered</t>
  </si>
  <si>
    <t xml:space="preserve">Quartz sand 0.9 mm (25 kg)</t>
  </si>
  <si>
    <t xml:space="preserve">QUARTZ 0.90 ME 25KG BAG</t>
  </si>
  <si>
    <t xml:space="preserve">2389925</t>
  </si>
  <si>
    <t xml:space="preserve">Quartz sand 1.2 mm (25 kg)</t>
  </si>
  <si>
    <t xml:space="preserve">Quartz 1.2 ME bag 25kg</t>
  </si>
  <si>
    <t xml:space="preserve">2388725</t>
  </si>
  <si>
    <t xml:space="preserve">Mapei Mapefloor Finish 52 W (A+B)</t>
  </si>
  <si>
    <t xml:space="preserve">MAPEFLOOR FINISH 52W/A+B FST.5.4 KG</t>
  </si>
  <si>
    <t xml:space="preserve">A:3G092005(4.7kg)+B:3G999905(0.7kg)</t>
  </si>
  <si>
    <t xml:space="preserve">Mapei Mapefloor Finish 53 W/L (A+B 11 kg)</t>
  </si>
  <si>
    <t xml:space="preserve">MAPEFLOOR FINISH 53W/A+B NEUTRAL 11 KG</t>
  </si>
  <si>
    <t xml:space="preserve">Mapei Mapefloor Finish 58 W (A+B)</t>
  </si>
  <si>
    <t xml:space="preserve">MAPEFLOOR FINISH 58W/A+B NEUTRAL 5.5 KG</t>
  </si>
  <si>
    <t xml:space="preserve">2454806</t>
  </si>
  <si>
    <t xml:space="preserve">Mapei Mapefloor Finish 450 ME (A+B 22.5 kg)</t>
  </si>
  <si>
    <t xml:space="preserve">Mapefloor Finish 450 ME /A RAL 7035 bucket 22.5 kg</t>
  </si>
  <si>
    <t xml:space="preserve">6ǪR214323</t>
  </si>
  <si>
    <t xml:space="preserve">Mapei Mapefloor FC 200 ME (A+B 25.5 kg) roller coat</t>
  </si>
  <si>
    <t xml:space="preserve">Mapefloor FC 200 ME /A+B RAL 7035 bucket 25.5KG</t>
  </si>
  <si>
    <t xml:space="preserve">5HW214326</t>
  </si>
  <si>
    <t xml:space="preserve">Mapei Mapefloor Finish HTR (A+B 10 kg)</t>
  </si>
  <si>
    <t xml:space="preserve">[A+B] MAPEFLOOR FINISH HTR A+B 10 KG</t>
  </si>
  <si>
    <t xml:space="preserve">A:2564610(7.0kg)+B:2564710(3.0kg)</t>
  </si>
  <si>
    <t xml:space="preserve">PU-cement</t>
  </si>
  <si>
    <t xml:space="preserve">Mapei Mapefloor CPU/MF (A+B+C 28.32 kg)</t>
  </si>
  <si>
    <t xml:space="preserve">MAPEFLOOR CPU+/MF A+B+C 28.32 KG</t>
  </si>
  <si>
    <t xml:space="preserve">6 mm</t>
  </si>
  <si>
    <t xml:space="preserve">Mapei Mapefloor CPU/RT</t>
  </si>
  <si>
    <t xml:space="preserve">MAPEFLOOR CPU+/RT 22.66KG</t>
  </si>
  <si>
    <t xml:space="preserve">Mapei Mapefloor CPU/TC topcoat</t>
  </si>
  <si>
    <t xml:space="preserve">MAPEFLOOR CPU/TC 6.66KG</t>
  </si>
  <si>
    <t xml:space="preserve">Mapei Mapefloor CPU/COVE</t>
  </si>
  <si>
    <t xml:space="preserve">MAPEFLOOR CPU+/COVE - 29.16 kg</t>
  </si>
  <si>
    <t xml:space="preserve">kg per lm of cove</t>
  </si>
  <si>
    <t xml:space="preserve">kg per lm, 100 mm cove</t>
  </si>
  <si>
    <t xml:space="preserve">PU flexible</t>
  </si>
  <si>
    <t xml:space="preserve">Mapei Mapefloor PU 400/460 (A+B 19.9 kg)</t>
  </si>
  <si>
    <t xml:space="preserve">[A+B] MAPEFLOOR PU 410 /A+B FUST. 19.9 KG</t>
  </si>
  <si>
    <t xml:space="preserve">A:2589720(16.0kg)+B:2589820(3.9kg)</t>
  </si>
  <si>
    <t xml:space="preserve">Sports/TNS</t>
  </si>
  <si>
    <t xml:space="preserve">Mapei Mapecoat TNS Base Coat (20 kg)</t>
  </si>
  <si>
    <t xml:space="preserve">Mapecoat TNS Base Coat Grey bucket 20kg</t>
  </si>
  <si>
    <t xml:space="preserve">6NǪ480120</t>
  </si>
  <si>
    <t xml:space="preserve">Mapei Mapecoat TNS Finish 1 (20 kg)</t>
  </si>
  <si>
    <t xml:space="preserve">MAPECOAT TNS FINISH 1 WHITE 20KG</t>
  </si>
  <si>
    <t xml:space="preserve">Mapei Mapecoat TNS Finish 4 (20 kg)</t>
  </si>
  <si>
    <t xml:space="preserve">Mapecoat TNS FIN-4 0 White bucket 20kg</t>
  </si>
  <si>
    <t xml:space="preserve">6MH490020</t>
  </si>
  <si>
    <t xml:space="preserve">Mapei Mapecoat TNS Line (5 kg)</t>
  </si>
  <si>
    <t xml:space="preserve">Mapecoat TNS Line 0 White bucket 5kg/ 11,02lb</t>
  </si>
  <si>
    <t xml:space="preserve">6MD490005</t>
  </si>
  <si>
    <t xml:space="preserve">lm per kg</t>
  </si>
  <si>
    <t xml:space="preserve">lm per kg at 50 mm line</t>
  </si>
  <si>
    <t xml:space="preserve">Alt brand</t>
  </si>
  <si>
    <t xml:space="preserve">Weber webertec Epo 450 PC kit (27.8 kg)</t>
  </si>
  <si>
    <t xml:space="preserve">webertec Epo 450 PC Kit (27.8 Kg)</t>
  </si>
  <si>
    <t xml:space="preserve">I000000863</t>
  </si>
  <si>
    <t xml:space="preserve">X-Calibur X-Tech Epoxy Floor SLU (12 L)</t>
  </si>
  <si>
    <t xml:space="preserve">X-TECH EPOXY FLOOR SLU 12 LTR</t>
  </si>
  <si>
    <t xml:space="preserve">X-Calibur</t>
  </si>
  <si>
    <t xml:space="preserve">sqm per kit per mm</t>
  </si>
  <si>
    <t xml:space="preserve">X-Calibur X-Tech Epoxyseal FLR100 (18 L)</t>
  </si>
  <si>
    <t xml:space="preserve">X-TECH EPOXYSEAL FLR100-STANDARD GREY 18L</t>
  </si>
  <si>
    <t xml:space="preserve">sqm per litre per coat, two coats</t>
  </si>
  <si>
    <t xml:space="preserve">Ucrete UD200 (Master Builders, not Mapei)</t>
  </si>
  <si>
    <t xml:space="preserve">Site says 'Mapei Ucrete', brand is wrong on site. 6 mm</t>
  </si>
  <si>
    <t xml:space="preserve">ESD</t>
  </si>
  <si>
    <t xml:space="preserve">Mapei Mapecoat ESD system</t>
  </si>
  <si>
    <t xml:space="preserve">On 60newton.com; not in Books. two coats</t>
  </si>
  <si>
    <t xml:space="preserve">Mapei Primer G (diluted)</t>
  </si>
  <si>
    <t xml:space="preserve">kg/sqm (diluted)</t>
  </si>
  <si>
    <t xml:space="preserve">diluted 1:3 for SL</t>
  </si>
  <si>
    <t xml:space="preserve">Mapei Eco Prim Grip (10 kg)</t>
  </si>
  <si>
    <t xml:space="preserve">ECO PRIM GRIP WHITE FUSTINI BUCKETS 10 KG</t>
  </si>
  <si>
    <t xml:space="preserve">Mapei Primer Grip (10 kg)</t>
  </si>
  <si>
    <t xml:space="preserve">Primer Grip White bucket 10kg</t>
  </si>
  <si>
    <t xml:space="preserve">1560510</t>
  </si>
  <si>
    <t xml:space="preserve">SL compound</t>
  </si>
  <si>
    <t xml:space="preserve">Mapei Ultraplan (23 kg)</t>
  </si>
  <si>
    <t xml:space="preserve">Ultraplan Grey bag 23kg</t>
  </si>
  <si>
    <t xml:space="preserve">34823</t>
  </si>
  <si>
    <t xml:space="preserve">kg/sqm/mm, 5 mm default</t>
  </si>
  <si>
    <t xml:space="preserve">Mapei Ultraplan Eco 20 (23 kg)</t>
  </si>
  <si>
    <t xml:space="preserve">Ultraplan Eco 20 bag 23kg</t>
  </si>
  <si>
    <t xml:space="preserve">1491523</t>
  </si>
  <si>
    <t xml:space="preserve">5 mm default</t>
  </si>
  <si>
    <t xml:space="preserve">Mapei Ultraplan Eco (23 kg)</t>
  </si>
  <si>
    <t xml:space="preserve">Ultraplan Eco bag 23kg</t>
  </si>
  <si>
    <t xml:space="preserve">149523</t>
  </si>
  <si>
    <t xml:space="preserve">Mapei Ultraplan Maxi (25 kg)</t>
  </si>
  <si>
    <t xml:space="preserve">Ultraplan Maxi bag 25kg</t>
  </si>
  <si>
    <t xml:space="preserve">149125</t>
  </si>
  <si>
    <t xml:space="preserve">10 mm default; 18 mm quoted at 85 is below material</t>
  </si>
  <si>
    <t xml:space="preserve">Mapei Ultraplan Maxi Fibre</t>
  </si>
  <si>
    <t xml:space="preserve">Ultraplan Maxi Fibre unit 25kg+0.250kg</t>
  </si>
  <si>
    <t xml:space="preserve">1491425</t>
  </si>
  <si>
    <t xml:space="preserve">10 mm default</t>
  </si>
  <si>
    <t xml:space="preserve">Mapei Ultraplan Fast Track (23 kg)</t>
  </si>
  <si>
    <t xml:space="preserve">Ultraplan Fast Track  bags 23 kg</t>
  </si>
  <si>
    <t xml:space="preserve">124223</t>
  </si>
  <si>
    <t xml:space="preserve">Mapei Ultraplan Contract (25 kg)</t>
  </si>
  <si>
    <t xml:space="preserve">Ultraplan Contract bag 25kg</t>
  </si>
  <si>
    <t xml:space="preserve">1493225</t>
  </si>
  <si>
    <t xml:space="preserve">Mapei Ultraplan Trade (25 kg)</t>
  </si>
  <si>
    <t xml:space="preserve">Ultraplan Trade bag 25kg</t>
  </si>
  <si>
    <t xml:space="preserve">149425</t>
  </si>
  <si>
    <t xml:space="preserve">Mapei Nivoplan (25 kg)</t>
  </si>
  <si>
    <t xml:space="preserve">Nivoplan Grey bag 25kg</t>
  </si>
  <si>
    <t xml:space="preserve">106125</t>
  </si>
  <si>
    <t xml:space="preserve">Mapei Planitop Fast 330 (25 kg)</t>
  </si>
  <si>
    <t xml:space="preserve">Planitop Fast 330 bag 25kg</t>
  </si>
  <si>
    <t xml:space="preserve">223525</t>
  </si>
  <si>
    <t xml:space="preserve">Screed</t>
  </si>
  <si>
    <t xml:space="preserve">Mapei Topcem (20 kg binder)</t>
  </si>
  <si>
    <t xml:space="preserve">Topcem bag 20kg</t>
  </si>
  <si>
    <t xml:space="preserve">24620</t>
  </si>
  <si>
    <t xml:space="preserve">kg binder/sqm per cm (state sand ratio)</t>
  </si>
  <si>
    <t xml:space="preserve">kg binder per sqm per cm (250 kg/m3); sand ~0.1 m3/sqm at 10 cm extra</t>
  </si>
  <si>
    <t xml:space="preserve">Mapei Topcem Pronto (25 kg ready-mix)</t>
  </si>
  <si>
    <t xml:space="preserve">Topcem Pronto bag 25kg</t>
  </si>
  <si>
    <t xml:space="preserve">24325</t>
  </si>
  <si>
    <t xml:space="preserve">kg/sqm per cm</t>
  </si>
  <si>
    <t xml:space="preserve">kg/sqm/cm; 5 cm default. Not viable at 10 cm for 120 to 130 quoted</t>
  </si>
  <si>
    <t xml:space="preserve">Laticrete Latascreed PM30 (50 kg)</t>
  </si>
  <si>
    <t xml:space="preserve">LATASCREED PM30 GREY 50KG</t>
  </si>
  <si>
    <t xml:space="preserve">kg/sqm/cm</t>
  </si>
  <si>
    <t xml:space="preserve">Exeed SCR 30 N cement screed (50 kg)</t>
  </si>
  <si>
    <t xml:space="preserve">CEMENT SCREED - SCR 30 N - 50 KG</t>
  </si>
  <si>
    <t xml:space="preserve">SCR 30 N - 50 KG</t>
  </si>
  <si>
    <t xml:space="preserve">Exeed SCR 550 (per ton)</t>
  </si>
  <si>
    <t xml:space="preserve">CEMENT SCREED - SCR 550</t>
  </si>
  <si>
    <t xml:space="preserve">SCR 550</t>
  </si>
  <si>
    <t xml:space="preserve">EXEED</t>
  </si>
  <si>
    <t xml:space="preserve">Additive</t>
  </si>
  <si>
    <t xml:space="preserve">Mapei Latex Plus (10 kg)</t>
  </si>
  <si>
    <t xml:space="preserve">Latex Plus jerrycan 10kg</t>
  </si>
  <si>
    <t xml:space="preserve">215110</t>
  </si>
  <si>
    <t xml:space="preserve">kg per bag of mortar</t>
  </si>
  <si>
    <t xml:space="preserve">kg per 25 kg bag</t>
  </si>
  <si>
    <t xml:space="preserve">Mapei Planicrete (25 kg)</t>
  </si>
  <si>
    <t xml:space="preserve">Planicrete jerrycan 25kg</t>
  </si>
  <si>
    <t xml:space="preserve">37125</t>
  </si>
  <si>
    <t xml:space="preserve">Mapei Mapefer 1K Zero (rebar protection)</t>
  </si>
  <si>
    <t xml:space="preserve">Mapefer 1K Zero ALU bag 5kg (box of 4)</t>
  </si>
  <si>
    <t xml:space="preserve">2766245A</t>
  </si>
  <si>
    <t xml:space="preserve">kg per lm of rebar</t>
  </si>
  <si>
    <t xml:space="preserve">kg per lm of 12 mm rebar</t>
  </si>
  <si>
    <t xml:space="preserve">Adhesive</t>
  </si>
  <si>
    <t xml:space="preserve">Mapei Keraflex Maxi S1 Zero Grey (25 kg)</t>
  </si>
  <si>
    <t xml:space="preserve">Keraflex Maxi S1 (N) Zero Grey bag 25kg</t>
  </si>
  <si>
    <t xml:space="preserve">1193625</t>
  </si>
  <si>
    <t xml:space="preserve">kg/sqm (by trowel and back-butter)</t>
  </si>
  <si>
    <t xml:space="preserve">10 mm trowel plus back-butter for 120x60; 4.5 kg with 10 mm trowel alone</t>
  </si>
  <si>
    <t xml:space="preserve">Mapei Keraflex Maxi S1 Zero White (25 kg)</t>
  </si>
  <si>
    <t xml:space="preserve">Keraflex Maxi S1 (N) Zero White bag 25kg</t>
  </si>
  <si>
    <t xml:space="preserve">1198625</t>
  </si>
  <si>
    <t xml:space="preserve">as grey</t>
  </si>
  <si>
    <t xml:space="preserve">Mapei Keraflex Grey (25 kg)</t>
  </si>
  <si>
    <t xml:space="preserve">Keraflex Grey bag 25kg</t>
  </si>
  <si>
    <t xml:space="preserve">119125</t>
  </si>
  <si>
    <t xml:space="preserve">8 mm trowel</t>
  </si>
  <si>
    <t xml:space="preserve">Mapei Kerabond T (25 kg)</t>
  </si>
  <si>
    <t xml:space="preserve">Kerabond T Grey bag 25kg</t>
  </si>
  <si>
    <t xml:space="preserve">2225</t>
  </si>
  <si>
    <t xml:space="preserve">Mapei Kerabond Plus (25 kg)</t>
  </si>
  <si>
    <t xml:space="preserve">Kerabond Plus Grey bag 25kg</t>
  </si>
  <si>
    <t xml:space="preserve">3925</t>
  </si>
  <si>
    <t xml:space="preserve">Mapei Isolastic (25 kg, with Kerabond T)</t>
  </si>
  <si>
    <t xml:space="preserve">Isolastic jerrycan 25kg</t>
  </si>
  <si>
    <t xml:space="preserve">97125</t>
  </si>
  <si>
    <t xml:space="preserve">kg per bag Kerabond</t>
  </si>
  <si>
    <t xml:space="preserve">kg per 25 kg Kerabond T</t>
  </si>
  <si>
    <t xml:space="preserve">Mapei Adesilex P9 (25 kg)</t>
  </si>
  <si>
    <t xml:space="preserve">Adesilex P9 Grey bag 25kg</t>
  </si>
  <si>
    <t xml:space="preserve">6125</t>
  </si>
  <si>
    <t xml:space="preserve">Mapei Adesilex P10 white (25 kg, mosaic)</t>
  </si>
  <si>
    <t xml:space="preserve">Adesilex P10 bag 25kg</t>
  </si>
  <si>
    <t xml:space="preserve">277225</t>
  </si>
  <si>
    <t xml:space="preserve">4 mm trowel, mosaic</t>
  </si>
  <si>
    <t xml:space="preserve">Mapei Granirapid (A+B, marble rapid)</t>
  </si>
  <si>
    <t xml:space="preserve">GRANIRAPID /A + B GREY 30.5 KG</t>
  </si>
  <si>
    <t xml:space="preserve">A:140125(25kg)+B:140506(5.5kg)</t>
  </si>
  <si>
    <t xml:space="preserve">Mapei Ultralite S1 (15 kg)</t>
  </si>
  <si>
    <t xml:space="preserve">Ultralite S1 (N) Grey  bags 15 kg</t>
  </si>
  <si>
    <t xml:space="preserve">2428515</t>
  </si>
  <si>
    <t xml:space="preserve">lightweight</t>
  </si>
  <si>
    <t xml:space="preserve">Mapei Ultralite S2 Flex (15 kg)</t>
  </si>
  <si>
    <t xml:space="preserve">Ultralite S2 Flex (N) White bag 15kg</t>
  </si>
  <si>
    <t xml:space="preserve">2431415</t>
  </si>
  <si>
    <t xml:space="preserve">Mapei Kerapoxy Adhesive (10 kg, pools)</t>
  </si>
  <si>
    <t xml:space="preserve">Kerapoxy Adhesive White unit 10kg</t>
  </si>
  <si>
    <t xml:space="preserve">2511310</t>
  </si>
  <si>
    <t xml:space="preserve">Mapei Adesilex PG4 (epoxy, 6 kg)</t>
  </si>
  <si>
    <t xml:space="preserve">Adesilex PG4 unit 6kg</t>
  </si>
  <si>
    <t xml:space="preserve">48707</t>
  </si>
  <si>
    <t xml:space="preserve">Kerakoll H40 Gel (25 kg)</t>
  </si>
  <si>
    <t xml:space="preserve">H40 Gel Grey 25kg</t>
  </si>
  <si>
    <t xml:space="preserve">Kerakoll H40 Icon (25 kg)</t>
  </si>
  <si>
    <t xml:space="preserve">H40 Icon Grey 25kg</t>
  </si>
  <si>
    <t xml:space="preserve">Kerakoll Biogel No Limits</t>
  </si>
  <si>
    <t xml:space="preserve">BIOGEL NO LIMITS GRIGIO</t>
  </si>
  <si>
    <t xml:space="preserve">13649</t>
  </si>
  <si>
    <t xml:space="preserve">Kerakoll Bioflex (25 kg)</t>
  </si>
  <si>
    <t xml:space="preserve">BIOFLEX GREY</t>
  </si>
  <si>
    <t xml:space="preserve">KB0006</t>
  </si>
  <si>
    <t xml:space="preserve">Kerakoll Pragma Flex (25 kg)</t>
  </si>
  <si>
    <t xml:space="preserve">Pragma Flex Grey 25kg</t>
  </si>
  <si>
    <t xml:space="preserve">Weber webercol Premium (25 kg)</t>
  </si>
  <si>
    <t xml:space="preserve">webercol Premium White (25 Kg)</t>
  </si>
  <si>
    <t xml:space="preserve">I000001810</t>
  </si>
  <si>
    <t xml:space="preserve">Weber webercol Flex kit</t>
  </si>
  <si>
    <t xml:space="preserve">webercol Flex Grey Kit (19.565Kg)</t>
  </si>
  <si>
    <t xml:space="preserve">I000000748</t>
  </si>
  <si>
    <t xml:space="preserve">Weber webercol Plus (25 kg)</t>
  </si>
  <si>
    <t xml:space="preserve">webercol Plus Grey (25 Kg)</t>
  </si>
  <si>
    <t xml:space="preserve">I000000666</t>
  </si>
  <si>
    <t xml:space="preserve">Laticrete Latapoxy Stone Adhesive (10 L)</t>
  </si>
  <si>
    <t xml:space="preserve">sqm per kit (spot bond)</t>
  </si>
  <si>
    <t xml:space="preserve">Enter purchase price manually. sqm per kit, spot bonding; not stocked</t>
  </si>
  <si>
    <t xml:space="preserve">Grout</t>
  </si>
  <si>
    <t xml:space="preserve">Mapei Ultracolor Plus (5 kg)</t>
  </si>
  <si>
    <t xml:space="preserve">Ultracolor Plus 114 ALU bag 5kg (box of 4)</t>
  </si>
  <si>
    <t xml:space="preserve">6011445A</t>
  </si>
  <si>
    <t xml:space="preserve">kg/sqm (state tile size and joint)</t>
  </si>
  <si>
    <t xml:space="preserve">60x120, 3 mm joint, 10 mm depth; use grout formula</t>
  </si>
  <si>
    <t xml:space="preserve">Mapei Keracolor FF (20 kg)</t>
  </si>
  <si>
    <t xml:space="preserve">Keracolor FF 100 bag 20kg</t>
  </si>
  <si>
    <t xml:space="preserve">5N10020</t>
  </si>
  <si>
    <t xml:space="preserve">as above</t>
  </si>
  <si>
    <t xml:space="preserve">Mapei Kerapoxy (5 kg epoxy)</t>
  </si>
  <si>
    <t xml:space="preserve">Kerapoxy 100 unit 5kg</t>
  </si>
  <si>
    <t xml:space="preserve">4510005</t>
  </si>
  <si>
    <t xml:space="preserve">60x120, 1.5 mm joint, 10 mm depth</t>
  </si>
  <si>
    <t xml:space="preserve">Mapei Kerapoxy (10 kg epoxy)</t>
  </si>
  <si>
    <t xml:space="preserve">Kerapoxy 100 unit 10kg</t>
  </si>
  <si>
    <t xml:space="preserve">4510010</t>
  </si>
  <si>
    <t xml:space="preserve">Mapei Kerapoxy CQ (3 kg)</t>
  </si>
  <si>
    <t xml:space="preserve">Kerapoxy CQ 100 White unit 3kg</t>
  </si>
  <si>
    <t xml:space="preserve">6310003</t>
  </si>
  <si>
    <t xml:space="preserve">Mapei Kerapoxy Easy Design (3 kg)</t>
  </si>
  <si>
    <t xml:space="preserve">Kerapoxy Easy Design 0100 White unit 3kg</t>
  </si>
  <si>
    <t xml:space="preserve">5KB010003</t>
  </si>
  <si>
    <t xml:space="preserve">Kerakoll Fugabella Color (3 kg)</t>
  </si>
  <si>
    <t xml:space="preserve">FUGABELLA COLOR KK 1</t>
  </si>
  <si>
    <t xml:space="preserve">3 kg pack assumed from price</t>
  </si>
  <si>
    <t xml:space="preserve">Kerakoll Fugalite Color (epoxy)</t>
  </si>
  <si>
    <t xml:space="preserve">FUGALITE COLOR KK1</t>
  </si>
  <si>
    <t xml:space="preserve">K00036</t>
  </si>
  <si>
    <t xml:space="preserve">3 kg pack assumed</t>
  </si>
  <si>
    <t xml:space="preserve">Weber weberjoint (20 kg)</t>
  </si>
  <si>
    <t xml:space="preserve">weberjoint 120 Ivory (20Kg)</t>
  </si>
  <si>
    <t xml:space="preserve">I000000293</t>
  </si>
  <si>
    <t xml:space="preserve">Laticrete Permacolor Grout FS (5 kg)</t>
  </si>
  <si>
    <t xml:space="preserve">PERMACOLOR GROUT FS/NATURAL GREY/5KG</t>
  </si>
  <si>
    <t xml:space="preserve">17-2524-0005-FS-M</t>
  </si>
  <si>
    <t xml:space="preserve">Laticrete Spectralock Pro Premium kit</t>
  </si>
  <si>
    <t xml:space="preserve">SPECTRALOCK PRO PREMIUM GROUT - 88 SILVER SHADOW KIT (A+B+C)  5.2KG BUCKET</t>
  </si>
  <si>
    <t xml:space="preserve">sqm per kit</t>
  </si>
  <si>
    <t xml:space="preserve">sqm per kit at 60x120 1.5 mm</t>
  </si>
  <si>
    <t xml:space="preserve">Mapei Fugolastic (grout additive, 10 kg)</t>
  </si>
  <si>
    <t xml:space="preserve">Fugolastic jerrycan 10kg</t>
  </si>
  <si>
    <t xml:space="preserve">88110</t>
  </si>
  <si>
    <t xml:space="preserve">kg per bag of grout</t>
  </si>
  <si>
    <t xml:space="preserve">kg per 5 kg grout</t>
  </si>
  <si>
    <t xml:space="preserve">Sealant</t>
  </si>
  <si>
    <t xml:space="preserve">Mapei Mapesil AC (310 ml)</t>
  </si>
  <si>
    <t xml:space="preserve">Mapesil AC Zero 123 crt 310ml (box of 12)</t>
  </si>
  <si>
    <t xml:space="preserve">4812342IT</t>
  </si>
  <si>
    <t xml:space="preserve">lm per cartridge (state joint size)</t>
  </si>
  <si>
    <t xml:space="preserve">lm per cartridge at 6x6 mm joint</t>
  </si>
  <si>
    <t xml:space="preserve">Mapei Mapesil LM (310 ml, marble)</t>
  </si>
  <si>
    <t xml:space="preserve">Mapesil LM 130 crt 310ml (box of 12)</t>
  </si>
  <si>
    <t xml:space="preserve">5813042</t>
  </si>
  <si>
    <t xml:space="preserve">6x6 mm</t>
  </si>
  <si>
    <t xml:space="preserve">Kerakoll Silicone Color</t>
  </si>
  <si>
    <t xml:space="preserve">SILICONE COLOR KK 64</t>
  </si>
  <si>
    <t xml:space="preserve">Accessories</t>
  </si>
  <si>
    <t xml:space="preserve">Tile levelling clip 1.5 mm (100 pcs)</t>
  </si>
  <si>
    <t xml:space="preserve">TILE LEVELING CLIP 1.5 MM 100PCS/BAG CAMEL</t>
  </si>
  <si>
    <t xml:space="preserve">pcs per sqm</t>
  </si>
  <si>
    <t xml:space="preserve">sqm per pack at 4 clips/sqm for 60x120</t>
  </si>
  <si>
    <t xml:space="preserve">Tile levelling wedge (100 pcs)</t>
  </si>
  <si>
    <t xml:space="preserve">Tile leveling wedge, 100pcs/bag</t>
  </si>
  <si>
    <t xml:space="preserve">TQWE100</t>
  </si>
  <si>
    <t xml:space="preserve">Bihui</t>
  </si>
  <si>
    <t xml:space="preserve">sqm per pack; wedges reusable</t>
  </si>
  <si>
    <t xml:space="preserve">Peygran LS levelling clip 2 mm</t>
  </si>
  <si>
    <t xml:space="preserve">CLIP LEVELING SYSTEM LS STONE  PEYGRAN 2MM 300 UNITS</t>
  </si>
  <si>
    <t xml:space="preserve">03190120I</t>
  </si>
  <si>
    <t xml:space="preserve">300 units, 4 per sqm</t>
  </si>
  <si>
    <t xml:space="preserve">Mapei Mapesilent acoustic roll</t>
  </si>
  <si>
    <t xml:space="preserve">MAPESILENT ROLL</t>
  </si>
  <si>
    <t xml:space="preserve">7615110</t>
  </si>
  <si>
    <t xml:space="preserve">sqm per roll, confirm roll size</t>
  </si>
  <si>
    <t xml:space="preserve">Stone care</t>
  </si>
  <si>
    <t xml:space="preserve">FILA stone sealer / impregnator</t>
  </si>
  <si>
    <t xml:space="preserve">FILA PW 10</t>
  </si>
  <si>
    <t xml:space="preserve">FILA</t>
  </si>
  <si>
    <t xml:space="preserve">sqm per litre</t>
  </si>
  <si>
    <t xml:space="preserve">sqm per litre; pack size to confirm</t>
  </si>
  <si>
    <t xml:space="preserve">Laticrete 254 Platinum Rapid</t>
  </si>
  <si>
    <t xml:space="preserve">On 60newton.com marble page; not in Books. </t>
  </si>
  <si>
    <t xml:space="preserve">Laticrete MVIS (façade)</t>
  </si>
  <si>
    <t xml:space="preserve">On 60newton.com LFT page; not in Books. </t>
  </si>
  <si>
    <t xml:space="preserve">Decorative concrete</t>
  </si>
  <si>
    <t xml:space="preserve">Mapei Ultratop Loft F (20 kg, base)</t>
  </si>
  <si>
    <t xml:space="preserve">Ultratop Loft F Natural bag 20kg</t>
  </si>
  <si>
    <t xml:space="preserve">5SV80320</t>
  </si>
  <si>
    <t xml:space="preserve">kg/sqm/mm, 2 mm in two coats</t>
  </si>
  <si>
    <t xml:space="preserve">Mapei Ultratop Loft W (20 kg, finish)</t>
  </si>
  <si>
    <t xml:space="preserve">Ultratop Loft W Natural bag 20kg</t>
  </si>
  <si>
    <t xml:space="preserve">5SW80320</t>
  </si>
  <si>
    <t xml:space="preserve">1 mm finish</t>
  </si>
  <si>
    <t xml:space="preserve">Kerakoll Cementoresina</t>
  </si>
  <si>
    <t xml:space="preserve">Cementoresina KK63</t>
  </si>
  <si>
    <t xml:space="preserve">3 mm; pack to confirm</t>
  </si>
  <si>
    <t xml:space="preserve">Design topping</t>
  </si>
  <si>
    <t xml:space="preserve">Mapei Ultratop Standard (25 kg)</t>
  </si>
  <si>
    <t xml:space="preserve">Ultratop Standard bag 25kg</t>
  </si>
  <si>
    <t xml:space="preserve">5S40325</t>
  </si>
  <si>
    <t xml:space="preserve">Mapei Ultratop Light (25 kg)</t>
  </si>
  <si>
    <t xml:space="preserve">Ultratop Light Ivory  bags 25 kg</t>
  </si>
  <si>
    <t xml:space="preserve">5S045525</t>
  </si>
  <si>
    <t xml:space="preserve">10 mm</t>
  </si>
  <si>
    <t xml:space="preserve">Mapei Ultratop Outdoor Standard (25 kg)</t>
  </si>
  <si>
    <t xml:space="preserve">Ultratop Outdoor Standard bag 25kg</t>
  </si>
  <si>
    <t xml:space="preserve">135725</t>
  </si>
  <si>
    <t xml:space="preserve">Mapei Ultratop Stucco (10 kg)</t>
  </si>
  <si>
    <t xml:space="preserve">Ultratop Stucco Standard Grey bucket 10kg</t>
  </si>
  <si>
    <t xml:space="preserve">5SU40310</t>
  </si>
  <si>
    <t xml:space="preserve">1 mm skim</t>
  </si>
  <si>
    <t xml:space="preserve">Mapei Ultratop Base Coat (10 kg)</t>
  </si>
  <si>
    <t xml:space="preserve">Ultratop Base Coat jerrycan 10kg</t>
  </si>
  <si>
    <t xml:space="preserve">2564210</t>
  </si>
  <si>
    <t xml:space="preserve">Mapei Ultratop EasyColor pigment (1.5 L)</t>
  </si>
  <si>
    <t xml:space="preserve">Ultratop Easycolor London Gr bucket 1.5lt</t>
  </si>
  <si>
    <t xml:space="preserve">5SD8200902</t>
  </si>
  <si>
    <t xml:space="preserve">units per bag Ultratop</t>
  </si>
  <si>
    <t xml:space="preserve">units per 25 kg bag</t>
  </si>
  <si>
    <t xml:space="preserve">Sealer</t>
  </si>
  <si>
    <t xml:space="preserve">Mapei Mapelux Lucida (gloss, 10 kg)</t>
  </si>
  <si>
    <t xml:space="preserve">Mapelux Lucida jerrycan 10kg</t>
  </si>
  <si>
    <t xml:space="preserve">1796110</t>
  </si>
  <si>
    <t xml:space="preserve">Mapei Mapelux Opaca (matt, 10 kg)</t>
  </si>
  <si>
    <t xml:space="preserve">Mapelux Opaca jerrycan 10kg</t>
  </si>
  <si>
    <t xml:space="preserve">1796010</t>
  </si>
  <si>
    <t xml:space="preserve">Mapei Mapefloor Finish 58 W (PU sealer for Ultratop)</t>
  </si>
  <si>
    <t xml:space="preserve">Kerakoll decor</t>
  </si>
  <si>
    <t xml:space="preserve">Kerakoll Microresina KK2 (incl. primer)</t>
  </si>
  <si>
    <t xml:space="preserve">Bugatti quote: 55 AED/sqm material, ex-factory Italy. Bugatti quote gives 55 AED/sqm material; enter as manual cost per sqm</t>
  </si>
  <si>
    <t xml:space="preserve">Kerakoll Wallcrete Living KK72 (incl. primer)</t>
  </si>
  <si>
    <t xml:space="preserve">Bugatti quote: 53 AED/sqm material, ex-factory Italy. Bugatti quote gives 53 AED/sqm material</t>
  </si>
  <si>
    <t xml:space="preserve">Kerakoll Absolute decorative paint</t>
  </si>
  <si>
    <t xml:space="preserve">sqm per unit per coat</t>
  </si>
  <si>
    <t xml:space="preserve">Bugatti quote: Decor KK72 11 units per 500 sqm (696/unit). sqm per unit (11 units for 500 sqm on QT-288)</t>
  </si>
  <si>
    <t xml:space="preserve">quote</t>
  </si>
  <si>
    <t xml:space="preserve">Kerakoll Universal Wall Primer</t>
  </si>
  <si>
    <t xml:space="preserve">sqm per unit</t>
  </si>
  <si>
    <t xml:space="preserve">Bugatti quote: 8 units per 500 sqm (145/unit). sqm per unit (8 units for 500 sqm on QT-288)</t>
  </si>
  <si>
    <t xml:space="preserve">PU</t>
  </si>
  <si>
    <t xml:space="preserve">Mapei Mapeflex PU45 FT (600 ml sausage)</t>
  </si>
  <si>
    <t xml:space="preserve">Mapeflex PU 45 FT 111 Grey sausage 600 ml (box of 20)</t>
  </si>
  <si>
    <t xml:space="preserve">6PG011140</t>
  </si>
  <si>
    <t xml:space="preserve">lm per sausage (state joint WxD)</t>
  </si>
  <si>
    <t xml:space="preserve">10x10 mm joint</t>
  </si>
  <si>
    <t xml:space="preserve">Mapei Mapeflex PU S25 (600 ml)</t>
  </si>
  <si>
    <t xml:space="preserve">Mapeflex PU S25 Beige sausage 600ml (box of 20)</t>
  </si>
  <si>
    <t xml:space="preserve">1940340</t>
  </si>
  <si>
    <t xml:space="preserve">lm per sausage</t>
  </si>
  <si>
    <t xml:space="preserve">Mapei Mapeflex PU 65 (A+B 10 kg pourable)</t>
  </si>
  <si>
    <t xml:space="preserve">[A+B] MAPEFLEX PU 65 A+B 10KG</t>
  </si>
  <si>
    <t xml:space="preserve">A:196210(8.55kg)+B:196310(1.45kg)</t>
  </si>
  <si>
    <t xml:space="preserve">lm per kg at 10x10 mm</t>
  </si>
  <si>
    <t xml:space="preserve">Mapei Mapeflex PU 70 SL (A+B pourable)</t>
  </si>
  <si>
    <t xml:space="preserve">[A+B] Mapeflex PU 70 SL A+BBlack 120 bucket 6,6kg+3,4kg</t>
  </si>
  <si>
    <t xml:space="preserve">A:6PL012010(6.6kg)+B:6PL999910(3.4kg)</t>
  </si>
  <si>
    <t xml:space="preserve">MS polymer</t>
  </si>
  <si>
    <t xml:space="preserve">Mapei Mapeflex MS45 (300 ml)</t>
  </si>
  <si>
    <t xml:space="preserve">Mapeflex MS 45 113 Grey crt 300ml (box of 12)</t>
  </si>
  <si>
    <t xml:space="preserve">6PB011343</t>
  </si>
  <si>
    <t xml:space="preserve">Polysulphide</t>
  </si>
  <si>
    <t xml:space="preserve">Mapei Mapeflex PS SL / PS NS (A+B 4 L)</t>
  </si>
  <si>
    <t xml:space="preserve">MAPEFLEX PS SL/ A+B 4LTR</t>
  </si>
  <si>
    <t xml:space="preserve">1938704 a+b</t>
  </si>
  <si>
    <t xml:space="preserve">lm per unit</t>
  </si>
  <si>
    <t xml:space="preserve">lm per 4 L unit at 10x10 mm</t>
  </si>
  <si>
    <t xml:space="preserve">Mapei Mapeflex PSU SL ME (5 L)</t>
  </si>
  <si>
    <t xml:space="preserve">Mapeflex PSU SL ME unit 5lt</t>
  </si>
  <si>
    <t xml:space="preserve">1938705</t>
  </si>
  <si>
    <t xml:space="preserve">lm per 5 L at 10x10 mm</t>
  </si>
  <si>
    <t xml:space="preserve">Acrylic</t>
  </si>
  <si>
    <t xml:space="preserve">Mapei Mapeflex AC4 (310 ml)</t>
  </si>
  <si>
    <t xml:space="preserve">Mapeflex AC4 Grey crt 310ml (box of 12)</t>
  </si>
  <si>
    <t xml:space="preserve">461043</t>
  </si>
  <si>
    <t xml:space="preserve">10x10 mm</t>
  </si>
  <si>
    <t xml:space="preserve">Silicone</t>
  </si>
  <si>
    <t xml:space="preserve">Closed-cell PE backer rod</t>
  </si>
  <si>
    <t xml:space="preserve">BACKING ROD 30 MM x 100 M</t>
  </si>
  <si>
    <t xml:space="preserve">lm per roll (state dia)</t>
  </si>
  <si>
    <t xml:space="preserve">100 m roll, 30 mm</t>
  </si>
  <si>
    <t xml:space="preserve">Waterstop</t>
  </si>
  <si>
    <t xml:space="preserve">Mapei Idrostop 10 (20x10 mm, 10 m)</t>
  </si>
  <si>
    <t xml:space="preserve">Backer rod closed-cell PE (state diameter)</t>
  </si>
  <si>
    <t xml:space="preserve">Not found in Books. 100 m roll</t>
  </si>
  <si>
    <t xml:space="preserve">Putty</t>
  </si>
  <si>
    <t xml:space="preserve">Dulux Stucco Plast interior (18 L)</t>
  </si>
  <si>
    <t xml:space="preserve">DM Dulux Stucco Plast 18L- Plastic Can</t>
  </si>
  <si>
    <t xml:space="preserve">5748397</t>
  </si>
  <si>
    <t xml:space="preserve">Dulux</t>
  </si>
  <si>
    <t xml:space="preserve">sqm per bag per coat</t>
  </si>
  <si>
    <t xml:space="preserve">sqm per 18 L pack per coat at ~1 mm</t>
  </si>
  <si>
    <t xml:space="preserve">Dulux Exterior Stucco Plast (18 L)</t>
  </si>
  <si>
    <t xml:space="preserve">DM Dulux Exterior Stucco Plast 18L</t>
  </si>
  <si>
    <t xml:space="preserve">6430332</t>
  </si>
  <si>
    <t xml:space="preserve">sqm per pack per coat</t>
  </si>
  <si>
    <t xml:space="preserve">Dulux Undercoat (18 L)</t>
  </si>
  <si>
    <t xml:space="preserve">DM Dulux Undercoat white 18L</t>
  </si>
  <si>
    <t xml:space="preserve">6430390</t>
  </si>
  <si>
    <t xml:space="preserve">National Acrylic Primer (18 L)</t>
  </si>
  <si>
    <t xml:space="preserve">NATIONAL ACRYLIC PRIMER 18 L</t>
  </si>
  <si>
    <t xml:space="preserve">Topcoat</t>
  </si>
  <si>
    <t xml:space="preserve">Dulux Weathershield Masonry Smooth (5 USG)</t>
  </si>
  <si>
    <t xml:space="preserve">DULUX WEATHERSHIELD MASONRY PAINT SMOOTH White(5USG)</t>
  </si>
  <si>
    <t xml:space="preserve">5256591</t>
  </si>
  <si>
    <t xml:space="preserve">Dulux Weathershield Masonry Texture (5 USG)</t>
  </si>
  <si>
    <t xml:space="preserve">DULUX WEATHERSHIELD MASONRY PAINT TEXTURE WHITE (5USG)</t>
  </si>
  <si>
    <t xml:space="preserve">5260131</t>
  </si>
  <si>
    <t xml:space="preserve">Dulux Weathershield Exterior Filler (5 USG)</t>
  </si>
  <si>
    <t xml:space="preserve">DULUX WEATHERSHIELD EXTERIOR FILLER (5USG)</t>
  </si>
  <si>
    <t xml:space="preserve">5266556</t>
  </si>
  <si>
    <t xml:space="preserve">Dulux EasyClean / Velvet Touch (interior emulsion)</t>
  </si>
  <si>
    <t xml:space="preserve">Dulux Ambiance Matt AS7391, 10BB83006 CUSTM</t>
  </si>
  <si>
    <t xml:space="preserve">Jotun Fenomastic My Home Rich Matt (gallon)</t>
  </si>
  <si>
    <t xml:space="preserve">JOTUN FENOMASTIC MY HOME RICH MAT 1140 GALLON</t>
  </si>
  <si>
    <t xml:space="preserve">Jotun Fenomastic Pure Colour Matt (18 L)</t>
  </si>
  <si>
    <t xml:space="preserve">JOTUN FENOMASTIC PURE COLOR MATT -JOTUN</t>
  </si>
  <si>
    <t xml:space="preserve">JOTUN</t>
  </si>
  <si>
    <t xml:space="preserve">Jotun Jotashield ColourLast Matt (18 L)</t>
  </si>
  <si>
    <t xml:space="preserve">JOTUN JOTASHIELD COLOURLAST MATT WHITE RAL 7040 18 L</t>
  </si>
  <si>
    <t xml:space="preserve">National Matt Emulsion</t>
  </si>
  <si>
    <t xml:space="preserve">NATIONAL MATT EMULSION RAL 9010</t>
  </si>
  <si>
    <t xml:space="preserve">NATIONAL PAINTS</t>
  </si>
  <si>
    <t xml:space="preserve">two coats; pack to confirm</t>
  </si>
  <si>
    <t xml:space="preserve">Mapei Elastocolor Pittura (elastomeric, 20 kg)</t>
  </si>
  <si>
    <t xml:space="preserve">Elastocolor Pittura White - 20 KG</t>
  </si>
  <si>
    <t xml:space="preserve">XPS / polystyrene board 600x1250x50 mm</t>
  </si>
  <si>
    <t xml:space="preserve">Polystyrene Insulation Board 600x1250x50MM</t>
  </si>
  <si>
    <t xml:space="preserve">0.75 sqm gross, cutting loss</t>
  </si>
  <si>
    <t xml:space="preserve">Rockwool 600x1200x50 mm 30 kg/m3</t>
  </si>
  <si>
    <t xml:space="preserve">ROCKWOOL INSULATION 600x1200x50mm,30kg/m3 density</t>
  </si>
  <si>
    <t xml:space="preserve">0.72 sqm gross</t>
  </si>
  <si>
    <t xml:space="preserve">Fixing</t>
  </si>
  <si>
    <t xml:space="preserve">Mapei Mapetherm AR1 / adhesive for boards</t>
  </si>
  <si>
    <t xml:space="preserve">Mapetherm Net roll 50x1mt</t>
  </si>
  <si>
    <t xml:space="preserve">7342550</t>
  </si>
  <si>
    <t xml:space="preserve">dab and bead</t>
  </si>
  <si>
    <t xml:space="preserve">Spray foam</t>
  </si>
  <si>
    <t xml:space="preserve">Spray PU foam closed cell 35 to 45 kg/m3</t>
  </si>
  <si>
    <t xml:space="preserve">kg/sqm per 25 mm</t>
  </si>
  <si>
    <t xml:space="preserve">Subcontract or own rig? Not in Books. kg per sqm per 25 mm at 40 kg/m3; multiplier = number of 25 mm layers</t>
  </si>
  <si>
    <t xml:space="preserve">Bonding</t>
  </si>
  <si>
    <t xml:space="preserve">Mapei Eporip (A+B 2 kg, epoxy bonding/crack)</t>
  </si>
  <si>
    <t xml:space="preserve">EPORIP A+B 2KG</t>
  </si>
  <si>
    <t xml:space="preserve">A:152102(1.5kg)+B:153102(0.5kg)</t>
  </si>
  <si>
    <t xml:space="preserve">kg/sqm or kg per lm crack</t>
  </si>
  <si>
    <t xml:space="preserve">kg/sqm as bonding bridge</t>
  </si>
  <si>
    <t xml:space="preserve">Injection</t>
  </si>
  <si>
    <t xml:space="preserve">Mapei Epojet LV (A+B 4 kg)</t>
  </si>
  <si>
    <t xml:space="preserve">EPOJET LV / A+B FUST. 4.0 KG</t>
  </si>
  <si>
    <t xml:space="preserve">A:157504(3.2kg)+B:157704(0.8kg)</t>
  </si>
  <si>
    <t xml:space="preserve">kg per lm of crack</t>
  </si>
  <si>
    <t xml:space="preserve">kg per lm, 2 mm crack, 200 mm deep</t>
  </si>
  <si>
    <t xml:space="preserve">Rebar</t>
  </si>
  <si>
    <t xml:space="preserve">Mapei Mapefer 1K Zero (5 kg)</t>
  </si>
  <si>
    <t xml:space="preserve">Mapei Mapefer (2 kg)</t>
  </si>
  <si>
    <t xml:space="preserve">Mapefer unit 2kg</t>
  </si>
  <si>
    <t xml:space="preserve">139102</t>
  </si>
  <si>
    <t xml:space="preserve">Mortar</t>
  </si>
  <si>
    <t xml:space="preserve">Mapei Mapegrout Thixotropic (25 kg)</t>
  </si>
  <si>
    <t xml:space="preserve">MAPEGROUT THIXOTOPIC 25KG</t>
  </si>
  <si>
    <t xml:space="preserve">kg/sqm/cm, 3 cm default</t>
  </si>
  <si>
    <t xml:space="preserve">Mapei Mapegrout T60 ME (25 kg)</t>
  </si>
  <si>
    <t xml:space="preserve">Mapegrout T60 ME bag 25kg</t>
  </si>
  <si>
    <t xml:space="preserve">1347925</t>
  </si>
  <si>
    <t xml:space="preserve">3 cm default</t>
  </si>
  <si>
    <t xml:space="preserve">Mapei Mapegrout T80 (25 kg)</t>
  </si>
  <si>
    <t xml:space="preserve">Mapegrout T80 bag 25kg</t>
  </si>
  <si>
    <t xml:space="preserve">1348225</t>
  </si>
  <si>
    <t xml:space="preserve">Mapei Mapegrout SV ME (rapid, 25 kg)</t>
  </si>
  <si>
    <t xml:space="preserve">Mapegrout SV ME bag 25kg</t>
  </si>
  <si>
    <t xml:space="preserve">2655125</t>
  </si>
  <si>
    <t xml:space="preserve">Mapei Mapegrout Gunite AF ME (25 kg)</t>
  </si>
  <si>
    <t xml:space="preserve">Mapegrout Gunite 300 AF ME bag 25kg</t>
  </si>
  <si>
    <t xml:space="preserve">1393125</t>
  </si>
  <si>
    <t xml:space="preserve">rebound loss 10%</t>
  </si>
  <si>
    <t xml:space="preserve">Mapei Planitop 200/400 ME (finishing)</t>
  </si>
  <si>
    <t xml:space="preserve">Planitop 110 ME bag 20kg</t>
  </si>
  <si>
    <t xml:space="preserve">2237020</t>
  </si>
  <si>
    <t xml:space="preserve">kg/sqm/mm, 3 mm</t>
  </si>
  <si>
    <t xml:space="preserve">Fosroc Renderoc HS (25 kg)</t>
  </si>
  <si>
    <t xml:space="preserve">FOSROC RENDEROC HS 25KG</t>
  </si>
  <si>
    <t xml:space="preserve">Fosroc Renderoc FC (25 kg)</t>
  </si>
  <si>
    <t xml:space="preserve">FOSROC RENDEROC FC 25KG</t>
  </si>
  <si>
    <t xml:space="preserve">Fosroc Renderoc LA (25 kg, flowable)</t>
  </si>
  <si>
    <t xml:space="preserve">FOSROC RENDEROC LA 25KG</t>
  </si>
  <si>
    <t xml:space="preserve">Plugging</t>
  </si>
  <si>
    <t xml:space="preserve">Sika MonoTop Seal Water Plug (10 kg)</t>
  </si>
  <si>
    <t xml:space="preserve">Sika MonoTop -108 Seal Water Plug 10kg</t>
  </si>
  <si>
    <t xml:space="preserve">MONOTOPSEAL108</t>
  </si>
  <si>
    <t xml:space="preserve">SIKA</t>
  </si>
  <si>
    <t xml:space="preserve">Strengthening</t>
  </si>
  <si>
    <t xml:space="preserve">Mapei MapeWrap C Uni-Ax 300/50 (50 m)</t>
  </si>
  <si>
    <t xml:space="preserve">Mapewrap C UNI-AX 300/50 W box 50mt</t>
  </si>
  <si>
    <t xml:space="preserve">73F0605050W</t>
  </si>
  <si>
    <t xml:space="preserve">Mapei MapeWrap Primer 1 (2 kg)</t>
  </si>
  <si>
    <t xml:space="preserve">Mapewrap Primer 1 unit 2kg</t>
  </si>
  <si>
    <t xml:space="preserve">7324003</t>
  </si>
  <si>
    <t xml:space="preserve">Mapei MapeWrap 31 (A+B 5 kg saturant)</t>
  </si>
  <si>
    <t xml:space="preserve">Mapewrap 31 unit 5kg</t>
  </si>
  <si>
    <t xml:space="preserve">7323006</t>
  </si>
  <si>
    <t xml:space="preserve">kg/sqm of fabric</t>
  </si>
  <si>
    <t xml:space="preserve">kg per sqm of fabric</t>
  </si>
  <si>
    <t xml:space="preserve">Mapei MapeWrap 21 (5 kg)</t>
  </si>
  <si>
    <t xml:space="preserve">Mapewrap 21 unit 5kg</t>
  </si>
  <si>
    <t xml:space="preserve">7322006</t>
  </si>
  <si>
    <t xml:space="preserve">Mapei MapeWrap C Fiocco 10 mm (10 m)</t>
  </si>
  <si>
    <t xml:space="preserve">Mapewrap C Fiocco 10mm box 10mt /32.81ft</t>
  </si>
  <si>
    <t xml:space="preserve">73O21010</t>
  </si>
  <si>
    <t xml:space="preserve">lm per box</t>
  </si>
  <si>
    <t xml:space="preserve">Observed quoted rates from 19 Sixty Newton quotations (Jun to Aug 2026): market sanity check, not cost</t>
  </si>
  <si>
    <t xml:space="preserve">Rate AED</t>
  </si>
  <si>
    <t xml:space="preserve">Unit</t>
  </si>
  <si>
    <t xml:space="preserve">Quote</t>
  </si>
  <si>
    <t xml:space="preserve">Client / site</t>
  </si>
  <si>
    <t xml:space="preserve">Date</t>
  </si>
  <si>
    <t xml:space="preserve">Notes</t>
  </si>
  <si>
    <t xml:space="preserve">Floor grinding and surface prep</t>
  </si>
  <si>
    <t xml:space="preserve">QT-000296 / 298</t>
  </si>
  <si>
    <t xml:space="preserve">Nabd Al Badia (Carrefour) / Arabian Furniture (Police HQ)</t>
  </si>
  <si>
    <t xml:space="preserve">Aug 2026</t>
  </si>
  <si>
    <t xml:space="preserve">Removal of existing grout</t>
  </si>
  <si>
    <t xml:space="preserve">QT-000272</t>
  </si>
  <si>
    <t xml:space="preserve">Mr Livin</t>
  </si>
  <si>
    <t xml:space="preserve">12 Jun 2026</t>
  </si>
  <si>
    <t xml:space="preserve">60x120 tile</t>
  </si>
  <si>
    <t xml:space="preserve">Demolition and surface prep</t>
  </si>
  <si>
    <t xml:space="preserve">QT-000299</t>
  </si>
  <si>
    <t xml:space="preserve">Jumeirah Bay</t>
  </si>
  <si>
    <t xml:space="preserve">22 Aug 2026</t>
  </si>
  <si>
    <t xml:space="preserve">30,000 lump on 350 sqm</t>
  </si>
  <si>
    <t xml:space="preserve">Removal and disposal of tile and screed</t>
  </si>
  <si>
    <t xml:space="preserve">QT-000269</t>
  </si>
  <si>
    <t xml:space="preserve">Rameena Foundation</t>
  </si>
  <si>
    <t xml:space="preserve">11 Jun 2026</t>
  </si>
  <si>
    <t xml:space="preserve">15,000 lump on 200 sqm</t>
  </si>
  <si>
    <t xml:space="preserve">Tile removal per washroom</t>
  </si>
  <si>
    <t xml:space="preserve">each</t>
  </si>
  <si>
    <t xml:space="preserve">QT-000181</t>
  </si>
  <si>
    <t xml:space="preserve">Marriott Downtown AUH</t>
  </si>
  <si>
    <t xml:space="preserve">19 Jun 2026</t>
  </si>
  <si>
    <t xml:space="preserve">incl. disposal</t>
  </si>
  <si>
    <t xml:space="preserve">Screed up to 10 cm</t>
  </si>
  <si>
    <t xml:space="preserve">QT-000300</t>
  </si>
  <si>
    <t xml:space="preserve">Tawfeeq Zakarneh</t>
  </si>
  <si>
    <t xml:space="preserve">rate only</t>
  </si>
  <si>
    <t xml:space="preserve">Screed with anti-fracture membrane</t>
  </si>
  <si>
    <t xml:space="preserve">Self-levelling 4 to 5 mm</t>
  </si>
  <si>
    <t xml:space="preserve">QT-000298 v1</t>
  </si>
  <si>
    <t xml:space="preserve">Arabian Furniture</t>
  </si>
  <si>
    <t xml:space="preserve">revised to 55</t>
  </si>
  <si>
    <t xml:space="preserve">QT-000298 v3</t>
  </si>
  <si>
    <t xml:space="preserve">Self-levelling up to 4 mm</t>
  </si>
  <si>
    <t xml:space="preserve">Self-levelling up to 18 mm</t>
  </si>
  <si>
    <t xml:space="preserve">88 in v1</t>
  </si>
  <si>
    <t xml:space="preserve">Self-levelling Mapei, outdoor cricket pitch</t>
  </si>
  <si>
    <t xml:space="preserve">QT-000273</t>
  </si>
  <si>
    <t xml:space="preserve">Mr Arjun, Ghadeer Al Tair</t>
  </si>
  <si>
    <t xml:space="preserve">13 Jun 2026</t>
  </si>
  <si>
    <t xml:space="preserve">FLAG: 2.5x other SL rates, check product</t>
  </si>
  <si>
    <t xml:space="preserve">Primer SN + quartz</t>
  </si>
  <si>
    <t xml:space="preserve">Mr Arjun</t>
  </si>
  <si>
    <t xml:space="preserve">Epoxy flooring supply and apply</t>
  </si>
  <si>
    <t xml:space="preserve">QT-000296 v1</t>
  </si>
  <si>
    <t xml:space="preserve">Nabd Al Badia</t>
  </si>
  <si>
    <t xml:space="preserve">revised to 45</t>
  </si>
  <si>
    <t xml:space="preserve">QT-000296 v3</t>
  </si>
  <si>
    <t xml:space="preserve">FLAG: 44% drop, check against cost floor</t>
  </si>
  <si>
    <t xml:space="preserve">Cementitious WP Fosroc CM210</t>
  </si>
  <si>
    <t xml:space="preserve">QT-000301</t>
  </si>
  <si>
    <t xml:space="preserve">CATIC</t>
  </si>
  <si>
    <t xml:space="preserve">24 Aug 2026</t>
  </si>
  <si>
    <t xml:space="preserve">Water-based primer</t>
  </si>
  <si>
    <t xml:space="preserve">4 mm SBS membrane Awazel PY40 L</t>
  </si>
  <si>
    <t xml:space="preserve">single layer</t>
  </si>
  <si>
    <t xml:space="preserve">4 mm anti-root bitumen membrane</t>
  </si>
  <si>
    <t xml:space="preserve">3 mm protection board at walls</t>
  </si>
  <si>
    <t xml:space="preserve">Mapei waterproofing system incl. membrane</t>
  </si>
  <si>
    <t xml:space="preserve">QT-000299 v1</t>
  </si>
  <si>
    <t xml:space="preserve">Purtop 500 N</t>
  </si>
  <si>
    <t xml:space="preserve">QT-000299 v2</t>
  </si>
  <si>
    <t xml:space="preserve">Generic waterproofing supply and apply</t>
  </si>
  <si>
    <t xml:space="preserve">Weber waterproofing on drywall</t>
  </si>
  <si>
    <t xml:space="preserve">QT-000303</t>
  </si>
  <si>
    <t xml:space="preserve">Foyer</t>
  </si>
  <si>
    <t xml:space="preserve">26 Aug 2026</t>
  </si>
  <si>
    <t xml:space="preserve">Wet-area waterproofing recommendation</t>
  </si>
  <si>
    <t xml:space="preserve">QT-000276</t>
  </si>
  <si>
    <t xml:space="preserve">Al Wathba</t>
  </si>
  <si>
    <t xml:space="preserve">17 Jun 2026</t>
  </si>
  <si>
    <t xml:space="preserve">tax inclusive</t>
  </si>
  <si>
    <t xml:space="preserve">Tile install 30x30 incl. grout and spacer</t>
  </si>
  <si>
    <t xml:space="preserve">Tile install 120x60 incl. Keraflex Maxi S1, grout, spacer</t>
  </si>
  <si>
    <t xml:space="preserve">QT-000261</t>
  </si>
  <si>
    <t xml:space="preserve">Emirates Hills</t>
  </si>
  <si>
    <t xml:space="preserve">14 May 2026</t>
  </si>
  <si>
    <t xml:space="preserve">tile by client</t>
  </si>
  <si>
    <t xml:space="preserve">Tile install with adhesive</t>
  </si>
  <si>
    <t xml:space="preserve">tile by client; island site</t>
  </si>
  <si>
    <t xml:space="preserve">Tile install 120x60 incl. tile (≤55/sqm), grinding, skirting</t>
  </si>
  <si>
    <t xml:space="preserve">Grout and sealant supply and apply</t>
  </si>
  <si>
    <t xml:space="preserve">Epoxy grout supply and apply 60x120, 1.5 mm</t>
  </si>
  <si>
    <t xml:space="preserve">Mapei epoxy grout supply and apply</t>
  </si>
  <si>
    <t xml:space="preserve">QT-000271</t>
  </si>
  <si>
    <t xml:space="preserve">Patio General Trading</t>
  </si>
  <si>
    <t xml:space="preserve">white and grey same rate</t>
  </si>
  <si>
    <t xml:space="preserve">Fugabella grout + tile groove cleaning</t>
  </si>
  <si>
    <t xml:space="preserve">QT-000287</t>
  </si>
  <si>
    <t xml:space="preserve">Mr Walid, Dubai Hills</t>
  </si>
  <si>
    <t xml:space="preserve">14 Jul 2026</t>
  </si>
  <si>
    <t xml:space="preserve">5,000 less 30% discount</t>
  </si>
  <si>
    <t xml:space="preserve">Pool mosaic 20 sqm + epoxy grout 60 sqm</t>
  </si>
  <si>
    <t xml:space="preserve">QT-000302 v2</t>
  </si>
  <si>
    <t xml:space="preserve">Yas Island Villa</t>
  </si>
  <si>
    <t xml:space="preserve">25 Aug 2026</t>
  </si>
  <si>
    <t xml:space="preserve">5,000 in v1</t>
  </si>
  <si>
    <t xml:space="preserve">Kerakoll Absolute paint, application only</t>
  </si>
  <si>
    <t xml:space="preserve">QT-000288 v1</t>
  </si>
  <si>
    <t xml:space="preserve">Bugatti Showroom</t>
  </si>
  <si>
    <t xml:space="preserve">17 Jul 2026</t>
  </si>
  <si>
    <t xml:space="preserve">material 17.6/sqm separately</t>
  </si>
  <si>
    <t xml:space="preserve">Kerakoll Microresina, application only</t>
  </si>
  <si>
    <t xml:space="preserve">material 55/sqm separately; bundled 120 to 140 later</t>
  </si>
  <si>
    <t xml:space="preserve">Kerakoll Wallcrete, application only</t>
  </si>
  <si>
    <t xml:space="preserve">material 53/sqm separately; bundled 150 later</t>
  </si>
  <si>
    <t xml:space="preserve">PU45 groove filling</t>
  </si>
  <si>
    <t xml:space="preserve">Skirting remove and replace</t>
  </si>
  <si>
    <t xml:space="preserve">QT-000275</t>
  </si>
  <si>
    <t xml:space="preserve">15 Jun 2026</t>
  </si>
  <si>
    <t xml:space="preserve">XPS insulation 50 mm</t>
  </si>
  <si>
    <t xml:space="preserve">8,500 lump on 200 sqm</t>
  </si>
  <si>
    <t xml:space="preserve">Scaffolding provision</t>
  </si>
  <si>
    <t xml:space="preserve">Washroom WP + tile + grout package</t>
  </si>
  <si>
    <t xml:space="preserve">Washroom epoxy regrout package</t>
  </si>
  <si>
    <t xml:space="preserve">Door cutting and repaint off-site</t>
  </si>
  <si>
    <t xml:space="preserve">tax inclusive; bought-in</t>
  </si>
  <si>
    <t xml:space="preserve">Door cutting and repaint on-site</t>
  </si>
  <si>
    <t xml:space="preserve">Carpet supply and install</t>
  </si>
  <si>
    <t xml:space="preserve">Wallpaper supply and install</t>
  </si>
  <si>
    <t xml:space="preserve">QT-000274</t>
  </si>
  <si>
    <t xml:space="preserve">no VAT shown; bought-in</t>
  </si>
  <si>
    <t xml:space="preserve">Wooden floor supply and install</t>
  </si>
</sst>
</file>

<file path=xl/styles.xml><?xml version="1.0" encoding="utf-8"?>
<styleSheet xmlns="http://schemas.openxmlformats.org/spreadsheetml/2006/main">
  <numFmts count="8">
    <numFmt numFmtId="164" formatCode="General"/>
    <numFmt numFmtId="165" formatCode="0.00"/>
    <numFmt numFmtId="166" formatCode="0.###"/>
    <numFmt numFmtId="167" formatCode="#,##0.00"/>
    <numFmt numFmtId="168" formatCode="0.##"/>
    <numFmt numFmtId="169" formatCode="0%"/>
    <numFmt numFmtId="170" formatCode="#,##0"/>
    <numFmt numFmtId="171"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sz val="10"/>
      <name val="Arial"/>
      <family val="2"/>
    </font>
  </fonts>
  <fills count="6">
    <fill>
      <patternFill patternType="none"/>
    </fill>
    <fill>
      <patternFill patternType="gray125"/>
    </fill>
    <fill>
      <patternFill patternType="solid">
        <fgColor rgb="FF1F3A5F"/>
        <bgColor rgb="FF333333"/>
      </patternFill>
    </fill>
    <fill>
      <patternFill patternType="solid">
        <fgColor rgb="FFFFFF00"/>
        <bgColor rgb="FFFFFF00"/>
      </patternFill>
    </fill>
    <fill>
      <patternFill patternType="solid">
        <fgColor rgb="FFEFEFEF"/>
        <bgColor rgb="FFFFFFFF"/>
      </patternFill>
    </fill>
    <fill>
      <patternFill patternType="solid">
        <fgColor rgb="FFFFE699"/>
        <bgColor rgb="FFFFCC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7" fontId="6" fillId="4" borderId="1" xfId="0" applyFont="true" applyBorder="true" applyAlignment="false" applyProtection="false">
      <alignment horizontal="general" vertical="bottom" textRotation="0" wrapText="false" indent="0" shrinkToFit="false"/>
      <protection locked="true" hidden="false"/>
    </xf>
    <xf numFmtId="166" fontId="8" fillId="4" borderId="1" xfId="0" applyFont="true" applyBorder="true" applyAlignment="false" applyProtection="false">
      <alignment horizontal="general" vertical="bottom" textRotation="0" wrapText="false" indent="0" shrinkToFit="false"/>
      <protection locked="true" hidden="false"/>
    </xf>
    <xf numFmtId="168" fontId="8" fillId="4" borderId="1" xfId="0" applyFont="true" applyBorder="true" applyAlignment="false" applyProtection="false">
      <alignment horizontal="general" vertical="bottom" textRotation="0" wrapText="false" indent="0" shrinkToFit="false"/>
      <protection locked="true" hidden="false"/>
    </xf>
    <xf numFmtId="169" fontId="8" fillId="4" borderId="1" xfId="0" applyFont="true" applyBorder="true" applyAlignment="false" applyProtection="false">
      <alignment horizontal="general" vertical="bottom" textRotation="0" wrapText="false" indent="0" shrinkToFit="false"/>
      <protection locked="true" hidden="false"/>
    </xf>
    <xf numFmtId="170" fontId="8" fillId="4" borderId="1" xfId="0" applyFont="true" applyBorder="true" applyAlignment="false" applyProtection="false">
      <alignment horizontal="general" vertical="bottom" textRotation="0" wrapText="false" indent="0" shrinkToFit="false"/>
      <protection locked="true" hidden="false"/>
    </xf>
    <xf numFmtId="166" fontId="8" fillId="5" borderId="1" xfId="0" applyFont="true" applyBorder="true" applyAlignment="false" applyProtection="false">
      <alignment horizontal="general" vertical="bottom" textRotation="0" wrapText="false" indent="0" shrinkToFit="false"/>
      <protection locked="true" hidden="false"/>
    </xf>
    <xf numFmtId="168" fontId="8" fillId="5" borderId="1" xfId="0" applyFont="true" applyBorder="true" applyAlignment="false" applyProtection="false">
      <alignment horizontal="general" vertical="bottom" textRotation="0" wrapText="false" indent="0" shrinkToFit="false"/>
      <protection locked="true" hidden="false"/>
    </xf>
    <xf numFmtId="169" fontId="8" fillId="5"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EFEFEF"/>
          <bgColor rgb="FF000000"/>
        </patternFill>
      </fill>
    </dxf>
    <dxf>
      <fill>
        <patternFill patternType="solid">
          <fgColor rgb="FF0000FF"/>
          <bgColor rgb="FF000000"/>
        </patternFill>
      </fill>
    </dxf>
    <dxf>
      <fill>
        <patternFill patternType="solid">
          <fgColor rgb="FFFFFF00"/>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FEFE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0"/>
  </cols>
  <sheetData>
    <row r="1" customFormat="false" ht="17.35" hidden="false" customHeight="false" outlineLevel="0" collapsed="false">
      <c r="A1" s="1" t="s">
        <v>0</v>
      </c>
    </row>
    <row r="3" customFormat="false" ht="90" hidden="false" customHeight="true" outlineLevel="0" collapsed="false">
      <c r="A3" s="2" t="s">
        <v>1</v>
      </c>
      <c r="B3" s="3" t="s">
        <v>2</v>
      </c>
    </row>
    <row r="4" customFormat="false" ht="60" hidden="false" customHeight="true" outlineLevel="0" collapsed="false">
      <c r="A4" s="2" t="s">
        <v>3</v>
      </c>
      <c r="B4" s="3" t="s">
        <v>4</v>
      </c>
    </row>
    <row r="5" customFormat="false" ht="45" hidden="false" customHeight="true" outlineLevel="0" collapsed="false">
      <c r="A5" s="2" t="s">
        <v>5</v>
      </c>
      <c r="B5" s="3" t="s">
        <v>6</v>
      </c>
    </row>
    <row r="6" customFormat="false" ht="60" hidden="false" customHeight="true" outlineLevel="0" collapsed="false">
      <c r="A6" s="2" t="s">
        <v>7</v>
      </c>
      <c r="B6" s="3" t="s">
        <v>8</v>
      </c>
    </row>
    <row r="7" customFormat="false" ht="45" hidden="false" customHeight="true" outlineLevel="0" collapsed="false">
      <c r="A7" s="2" t="s">
        <v>9</v>
      </c>
      <c r="B7" s="3" t="s">
        <v>10</v>
      </c>
    </row>
    <row r="8" customFormat="false" ht="30" hidden="false" customHeight="true" outlineLevel="0" collapsed="false">
      <c r="A8" s="2" t="s">
        <v>11</v>
      </c>
      <c r="B8" s="3" t="s">
        <v>12</v>
      </c>
    </row>
    <row r="9" customFormat="false" ht="45" hidden="false" customHeight="true" outlineLevel="0" collapsed="false">
      <c r="A9" s="2" t="s">
        <v>13</v>
      </c>
      <c r="B9" s="3" t="s">
        <v>14</v>
      </c>
    </row>
    <row r="10" customFormat="false" ht="45" hidden="false" customHeight="true" outlineLevel="0" collapsed="false">
      <c r="A10" s="2" t="s">
        <v>15</v>
      </c>
      <c r="B10" s="3" t="s">
        <v>16</v>
      </c>
    </row>
    <row r="11" customFormat="false" ht="60" hidden="false" customHeight="true" outlineLevel="0" collapsed="false">
      <c r="A11" s="2" t="s">
        <v>17</v>
      </c>
      <c r="B11" s="3" t="s">
        <v>18</v>
      </c>
    </row>
    <row r="12" customFormat="false" ht="30" hidden="false" customHeight="true" outlineLevel="0" collapsed="false">
      <c r="A12" s="2" t="s">
        <v>19</v>
      </c>
      <c r="B12" s="3"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3" min="3" style="0" width="38"/>
    <col collapsed="false" customWidth="true" hidden="false" outlineLevel="0" max="4" min="4" style="0" width="16"/>
    <col collapsed="false" customWidth="true" hidden="false" outlineLevel="0" max="5" min="5" style="0" width="10"/>
    <col collapsed="false" customWidth="true" hidden="false" outlineLevel="0" max="6" min="6" style="0" width="44"/>
    <col collapsed="false" customWidth="true" hidden="false" outlineLevel="0" max="7" min="7" style="0" width="40"/>
    <col collapsed="false" customWidth="true" hidden="false" outlineLevel="0" max="8" min="8" style="0" width="44"/>
    <col collapsed="false" customWidth="true" hidden="false" outlineLevel="0" max="9" min="9" style="0" width="40"/>
  </cols>
  <sheetData>
    <row r="1" customFormat="false" ht="17.35" hidden="false" customHeight="false" outlineLevel="0" collapsed="false">
      <c r="A1" s="1" t="s">
        <v>21</v>
      </c>
    </row>
    <row r="3" customFormat="false" ht="23.85" hidden="false" customHeight="false" outlineLevel="0" collapsed="false">
      <c r="A3" s="4" t="s">
        <v>22</v>
      </c>
      <c r="B3" s="4" t="s">
        <v>23</v>
      </c>
      <c r="C3" s="4" t="s">
        <v>24</v>
      </c>
      <c r="D3" s="4" t="s">
        <v>25</v>
      </c>
      <c r="E3" s="4" t="s">
        <v>26</v>
      </c>
      <c r="F3" s="4" t="s">
        <v>27</v>
      </c>
      <c r="G3" s="4" t="s">
        <v>28</v>
      </c>
      <c r="H3" s="4" t="s">
        <v>29</v>
      </c>
      <c r="I3" s="4" t="s">
        <v>30</v>
      </c>
    </row>
    <row r="4" customFormat="false" ht="23.85" hidden="false" customHeight="false" outlineLevel="0" collapsed="false">
      <c r="A4" s="5" t="n">
        <v>1</v>
      </c>
      <c r="B4" s="5" t="s">
        <v>31</v>
      </c>
      <c r="C4" s="5" t="s">
        <v>32</v>
      </c>
      <c r="D4" s="5" t="s">
        <v>33</v>
      </c>
      <c r="E4" s="5" t="s">
        <v>34</v>
      </c>
      <c r="F4" s="5" t="s">
        <v>35</v>
      </c>
      <c r="G4" s="5" t="s">
        <v>36</v>
      </c>
      <c r="H4" s="5"/>
      <c r="I4" s="5"/>
    </row>
    <row r="5" customFormat="false" ht="23.85" hidden="false" customHeight="false" outlineLevel="0" collapsed="false">
      <c r="A5" s="5" t="n">
        <v>2</v>
      </c>
      <c r="B5" s="5" t="s">
        <v>31</v>
      </c>
      <c r="C5" s="5" t="s">
        <v>37</v>
      </c>
      <c r="D5" s="5" t="s">
        <v>38</v>
      </c>
      <c r="E5" s="5" t="s">
        <v>39</v>
      </c>
      <c r="F5" s="5" t="s">
        <v>40</v>
      </c>
      <c r="G5" s="5" t="s">
        <v>41</v>
      </c>
      <c r="H5" s="5"/>
      <c r="I5" s="5" t="s">
        <v>42</v>
      </c>
    </row>
    <row r="6" customFormat="false" ht="35.05" hidden="false" customHeight="false" outlineLevel="0" collapsed="false">
      <c r="A6" s="5" t="n">
        <v>3</v>
      </c>
      <c r="B6" s="5" t="s">
        <v>31</v>
      </c>
      <c r="C6" s="5" t="s">
        <v>43</v>
      </c>
      <c r="D6" s="5" t="s">
        <v>44</v>
      </c>
      <c r="E6" s="5" t="s">
        <v>39</v>
      </c>
      <c r="F6" s="5" t="s">
        <v>45</v>
      </c>
      <c r="G6" s="5" t="s">
        <v>46</v>
      </c>
      <c r="H6" s="5" t="s">
        <v>47</v>
      </c>
      <c r="I6" s="5" t="s">
        <v>48</v>
      </c>
    </row>
    <row r="7" customFormat="false" ht="23.85" hidden="false" customHeight="false" outlineLevel="0" collapsed="false">
      <c r="A7" s="5" t="n">
        <v>4</v>
      </c>
      <c r="B7" s="5" t="s">
        <v>31</v>
      </c>
      <c r="C7" s="5" t="s">
        <v>49</v>
      </c>
      <c r="D7" s="5" t="s">
        <v>44</v>
      </c>
      <c r="E7" s="5" t="s">
        <v>39</v>
      </c>
      <c r="F7" s="5" t="s">
        <v>50</v>
      </c>
      <c r="G7" s="5" t="s">
        <v>51</v>
      </c>
      <c r="H7" s="5" t="s">
        <v>52</v>
      </c>
      <c r="I7" s="5" t="s">
        <v>53</v>
      </c>
    </row>
    <row r="8" customFormat="false" ht="15" hidden="false" customHeight="false" outlineLevel="0" collapsed="false">
      <c r="A8" s="5" t="n">
        <v>5</v>
      </c>
      <c r="B8" s="5" t="s">
        <v>31</v>
      </c>
      <c r="C8" s="5" t="s">
        <v>54</v>
      </c>
      <c r="D8" s="5" t="s">
        <v>55</v>
      </c>
      <c r="E8" s="5" t="s">
        <v>39</v>
      </c>
      <c r="F8" s="5" t="s">
        <v>56</v>
      </c>
      <c r="G8" s="5" t="s">
        <v>57</v>
      </c>
      <c r="H8" s="5" t="s">
        <v>58</v>
      </c>
      <c r="I8" s="5"/>
    </row>
    <row r="9" customFormat="false" ht="15" hidden="false" customHeight="false" outlineLevel="0" collapsed="false">
      <c r="A9" s="5" t="n">
        <v>6</v>
      </c>
      <c r="B9" s="5" t="s">
        <v>31</v>
      </c>
      <c r="C9" s="5" t="s">
        <v>59</v>
      </c>
      <c r="D9" s="5" t="s">
        <v>44</v>
      </c>
      <c r="E9" s="5" t="s">
        <v>39</v>
      </c>
      <c r="F9" s="5" t="s">
        <v>60</v>
      </c>
      <c r="G9" s="5" t="s">
        <v>61</v>
      </c>
      <c r="H9" s="5" t="s">
        <v>60</v>
      </c>
      <c r="I9" s="5"/>
    </row>
    <row r="10" customFormat="false" ht="15" hidden="false" customHeight="false" outlineLevel="0" collapsed="false">
      <c r="A10" s="5" t="n">
        <v>7</v>
      </c>
      <c r="B10" s="5" t="s">
        <v>31</v>
      </c>
      <c r="C10" s="5" t="s">
        <v>62</v>
      </c>
      <c r="D10" s="5" t="s">
        <v>63</v>
      </c>
      <c r="E10" s="5" t="s">
        <v>64</v>
      </c>
      <c r="F10" s="5" t="s">
        <v>65</v>
      </c>
      <c r="G10" s="5" t="s">
        <v>66</v>
      </c>
      <c r="H10" s="5" t="s">
        <v>67</v>
      </c>
      <c r="I10" s="5"/>
    </row>
    <row r="11" customFormat="false" ht="23.85" hidden="false" customHeight="false" outlineLevel="0" collapsed="false">
      <c r="A11" s="5" t="n">
        <v>8</v>
      </c>
      <c r="B11" s="5" t="s">
        <v>31</v>
      </c>
      <c r="C11" s="5" t="s">
        <v>68</v>
      </c>
      <c r="D11" s="5" t="s">
        <v>69</v>
      </c>
      <c r="E11" s="5" t="s">
        <v>34</v>
      </c>
      <c r="F11" s="5" t="s">
        <v>35</v>
      </c>
      <c r="G11" s="5" t="s">
        <v>70</v>
      </c>
      <c r="H11" s="5"/>
      <c r="I11" s="5" t="s">
        <v>71</v>
      </c>
    </row>
    <row r="12" customFormat="false" ht="15" hidden="false" customHeight="false" outlineLevel="0" collapsed="false">
      <c r="A12" s="5" t="n">
        <v>9</v>
      </c>
      <c r="B12" s="5" t="s">
        <v>31</v>
      </c>
      <c r="C12" s="5" t="s">
        <v>72</v>
      </c>
      <c r="D12" s="5" t="s">
        <v>73</v>
      </c>
      <c r="E12" s="5" t="s">
        <v>39</v>
      </c>
      <c r="F12" s="5" t="s">
        <v>74</v>
      </c>
      <c r="G12" s="5" t="s">
        <v>75</v>
      </c>
      <c r="H12" s="5" t="s">
        <v>76</v>
      </c>
      <c r="I12" s="5"/>
    </row>
    <row r="13" customFormat="false" ht="15" hidden="false" customHeight="false" outlineLevel="0" collapsed="false">
      <c r="A13" s="5" t="n">
        <v>10</v>
      </c>
      <c r="B13" s="5" t="s">
        <v>31</v>
      </c>
      <c r="C13" s="5" t="s">
        <v>77</v>
      </c>
      <c r="D13" s="5" t="s">
        <v>33</v>
      </c>
      <c r="E13" s="5" t="s">
        <v>34</v>
      </c>
      <c r="F13" s="5" t="s">
        <v>35</v>
      </c>
      <c r="G13" s="5" t="s">
        <v>78</v>
      </c>
      <c r="H13" s="5"/>
      <c r="I13" s="5"/>
    </row>
    <row r="14" customFormat="false" ht="23.85" hidden="false" customHeight="false" outlineLevel="0" collapsed="false">
      <c r="A14" s="5" t="n">
        <v>11</v>
      </c>
      <c r="B14" s="5" t="s">
        <v>79</v>
      </c>
      <c r="C14" s="5" t="s">
        <v>80</v>
      </c>
      <c r="D14" s="5" t="s">
        <v>44</v>
      </c>
      <c r="E14" s="5" t="s">
        <v>39</v>
      </c>
      <c r="F14" s="5" t="s">
        <v>81</v>
      </c>
      <c r="G14" s="5" t="s">
        <v>82</v>
      </c>
      <c r="H14" s="5" t="s">
        <v>83</v>
      </c>
      <c r="I14" s="5"/>
    </row>
    <row r="15" customFormat="false" ht="23.85" hidden="false" customHeight="false" outlineLevel="0" collapsed="false">
      <c r="A15" s="5" t="n">
        <v>12</v>
      </c>
      <c r="B15" s="5" t="s">
        <v>79</v>
      </c>
      <c r="C15" s="5" t="s">
        <v>84</v>
      </c>
      <c r="D15" s="5" t="s">
        <v>55</v>
      </c>
      <c r="E15" s="5" t="s">
        <v>39</v>
      </c>
      <c r="F15" s="5" t="s">
        <v>85</v>
      </c>
      <c r="G15" s="5" t="s">
        <v>86</v>
      </c>
      <c r="H15" s="5" t="s">
        <v>87</v>
      </c>
      <c r="I15" s="5" t="s">
        <v>88</v>
      </c>
    </row>
    <row r="16" customFormat="false" ht="15" hidden="false" customHeight="false" outlineLevel="0" collapsed="false">
      <c r="A16" s="5" t="n">
        <v>13</v>
      </c>
      <c r="B16" s="5" t="s">
        <v>79</v>
      </c>
      <c r="C16" s="5" t="s">
        <v>89</v>
      </c>
      <c r="D16" s="5" t="s">
        <v>55</v>
      </c>
      <c r="E16" s="5" t="s">
        <v>39</v>
      </c>
      <c r="F16" s="5" t="s">
        <v>90</v>
      </c>
      <c r="G16" s="5" t="s">
        <v>86</v>
      </c>
      <c r="H16" s="5" t="s">
        <v>90</v>
      </c>
      <c r="I16" s="5"/>
    </row>
    <row r="17" customFormat="false" ht="15" hidden="false" customHeight="false" outlineLevel="0" collapsed="false">
      <c r="A17" s="5" t="n">
        <v>14</v>
      </c>
      <c r="B17" s="5" t="s">
        <v>79</v>
      </c>
      <c r="C17" s="5" t="s">
        <v>91</v>
      </c>
      <c r="D17" s="5" t="s">
        <v>55</v>
      </c>
      <c r="E17" s="5" t="s">
        <v>39</v>
      </c>
      <c r="F17" s="5" t="s">
        <v>90</v>
      </c>
      <c r="G17" s="5"/>
      <c r="H17" s="5" t="s">
        <v>92</v>
      </c>
      <c r="I17" s="5" t="s">
        <v>93</v>
      </c>
    </row>
    <row r="18" customFormat="false" ht="15" hidden="false" customHeight="false" outlineLevel="0" collapsed="false">
      <c r="A18" s="5" t="n">
        <v>15</v>
      </c>
      <c r="B18" s="5" t="s">
        <v>79</v>
      </c>
      <c r="C18" s="5" t="s">
        <v>94</v>
      </c>
      <c r="D18" s="5" t="s">
        <v>55</v>
      </c>
      <c r="E18" s="5" t="s">
        <v>39</v>
      </c>
      <c r="F18" s="5" t="s">
        <v>95</v>
      </c>
      <c r="G18" s="5" t="s">
        <v>96</v>
      </c>
      <c r="H18" s="5" t="s">
        <v>97</v>
      </c>
      <c r="I18" s="5"/>
    </row>
    <row r="19" customFormat="false" ht="15" hidden="false" customHeight="false" outlineLevel="0" collapsed="false">
      <c r="A19" s="5" t="n">
        <v>16</v>
      </c>
      <c r="B19" s="5" t="s">
        <v>79</v>
      </c>
      <c r="C19" s="5" t="s">
        <v>98</v>
      </c>
      <c r="D19" s="5" t="s">
        <v>99</v>
      </c>
      <c r="E19" s="5" t="s">
        <v>39</v>
      </c>
      <c r="F19" s="5" t="s">
        <v>100</v>
      </c>
      <c r="G19" s="5" t="s">
        <v>96</v>
      </c>
      <c r="H19" s="5" t="s">
        <v>101</v>
      </c>
      <c r="I19" s="5" t="s">
        <v>102</v>
      </c>
    </row>
    <row r="20" customFormat="false" ht="23.85" hidden="false" customHeight="false" outlineLevel="0" collapsed="false">
      <c r="A20" s="5" t="n">
        <v>17</v>
      </c>
      <c r="B20" s="5" t="s">
        <v>79</v>
      </c>
      <c r="C20" s="5" t="s">
        <v>103</v>
      </c>
      <c r="D20" s="5" t="s">
        <v>69</v>
      </c>
      <c r="E20" s="5" t="s">
        <v>34</v>
      </c>
      <c r="F20" s="5" t="s">
        <v>35</v>
      </c>
      <c r="G20" s="5" t="s">
        <v>104</v>
      </c>
      <c r="H20" s="5"/>
      <c r="I20" s="5"/>
    </row>
    <row r="21" customFormat="false" ht="15" hidden="false" customHeight="false" outlineLevel="0" collapsed="false">
      <c r="A21" s="5" t="n">
        <v>18</v>
      </c>
      <c r="B21" s="5" t="s">
        <v>105</v>
      </c>
      <c r="C21" s="5" t="s">
        <v>106</v>
      </c>
      <c r="D21" s="5" t="s">
        <v>33</v>
      </c>
      <c r="E21" s="5" t="s">
        <v>34</v>
      </c>
      <c r="F21" s="5" t="s">
        <v>35</v>
      </c>
      <c r="G21" s="5" t="s">
        <v>107</v>
      </c>
      <c r="H21" s="5"/>
      <c r="I21" s="5"/>
    </row>
    <row r="22" customFormat="false" ht="23.85" hidden="false" customHeight="false" outlineLevel="0" collapsed="false">
      <c r="A22" s="5" t="n">
        <v>19</v>
      </c>
      <c r="B22" s="5" t="s">
        <v>105</v>
      </c>
      <c r="C22" s="5" t="s">
        <v>108</v>
      </c>
      <c r="D22" s="5" t="s">
        <v>38</v>
      </c>
      <c r="E22" s="5" t="s">
        <v>39</v>
      </c>
      <c r="F22" s="5" t="s">
        <v>109</v>
      </c>
      <c r="G22" s="5" t="s">
        <v>110</v>
      </c>
      <c r="H22" s="5"/>
      <c r="I22" s="5" t="s">
        <v>111</v>
      </c>
    </row>
    <row r="23" customFormat="false" ht="15" hidden="false" customHeight="false" outlineLevel="0" collapsed="false">
      <c r="A23" s="5" t="n">
        <v>20</v>
      </c>
      <c r="B23" s="5" t="s">
        <v>105</v>
      </c>
      <c r="C23" s="5" t="s">
        <v>112</v>
      </c>
      <c r="D23" s="5" t="s">
        <v>113</v>
      </c>
      <c r="E23" s="5" t="s">
        <v>114</v>
      </c>
      <c r="F23" s="5" t="s">
        <v>115</v>
      </c>
      <c r="G23" s="5" t="s">
        <v>96</v>
      </c>
      <c r="H23" s="5" t="s">
        <v>116</v>
      </c>
      <c r="I23" s="5"/>
    </row>
    <row r="24" customFormat="false" ht="15" hidden="false" customHeight="false" outlineLevel="0" collapsed="false">
      <c r="A24" s="5" t="n">
        <v>21</v>
      </c>
      <c r="B24" s="5" t="s">
        <v>105</v>
      </c>
      <c r="C24" s="5" t="s">
        <v>43</v>
      </c>
      <c r="D24" s="5" t="s">
        <v>44</v>
      </c>
      <c r="E24" s="5" t="s">
        <v>39</v>
      </c>
      <c r="F24" s="5" t="s">
        <v>45</v>
      </c>
      <c r="G24" s="5" t="s">
        <v>117</v>
      </c>
      <c r="H24" s="5" t="s">
        <v>118</v>
      </c>
      <c r="I24" s="5"/>
    </row>
    <row r="25" customFormat="false" ht="23.85" hidden="false" customHeight="false" outlineLevel="0" collapsed="false">
      <c r="A25" s="5" t="n">
        <v>22</v>
      </c>
      <c r="B25" s="5" t="s">
        <v>105</v>
      </c>
      <c r="C25" s="5" t="s">
        <v>119</v>
      </c>
      <c r="D25" s="5" t="s">
        <v>73</v>
      </c>
      <c r="E25" s="5" t="s">
        <v>39</v>
      </c>
      <c r="F25" s="5" t="s">
        <v>50</v>
      </c>
      <c r="G25" s="5" t="s">
        <v>120</v>
      </c>
      <c r="H25" s="5" t="s">
        <v>121</v>
      </c>
      <c r="I25" s="5" t="s">
        <v>122</v>
      </c>
    </row>
    <row r="26" customFormat="false" ht="15" hidden="false" customHeight="false" outlineLevel="0" collapsed="false">
      <c r="A26" s="5" t="n">
        <v>23</v>
      </c>
      <c r="B26" s="5" t="s">
        <v>105</v>
      </c>
      <c r="C26" s="5" t="s">
        <v>123</v>
      </c>
      <c r="D26" s="5" t="s">
        <v>44</v>
      </c>
      <c r="E26" s="5" t="s">
        <v>39</v>
      </c>
      <c r="F26" s="5" t="s">
        <v>124</v>
      </c>
      <c r="G26" s="5" t="s">
        <v>96</v>
      </c>
      <c r="H26" s="5" t="s">
        <v>125</v>
      </c>
      <c r="I26" s="5" t="s">
        <v>126</v>
      </c>
    </row>
    <row r="27" customFormat="false" ht="23.85" hidden="false" customHeight="false" outlineLevel="0" collapsed="false">
      <c r="A27" s="5" t="n">
        <v>24</v>
      </c>
      <c r="B27" s="5" t="s">
        <v>105</v>
      </c>
      <c r="C27" s="5" t="s">
        <v>127</v>
      </c>
      <c r="D27" s="5" t="s">
        <v>44</v>
      </c>
      <c r="E27" s="5" t="s">
        <v>39</v>
      </c>
      <c r="F27" s="5" t="s">
        <v>128</v>
      </c>
      <c r="G27" s="5" t="s">
        <v>129</v>
      </c>
      <c r="H27" s="5" t="s">
        <v>130</v>
      </c>
      <c r="I27" s="5"/>
    </row>
    <row r="28" customFormat="false" ht="23.85" hidden="false" customHeight="false" outlineLevel="0" collapsed="false">
      <c r="A28" s="5" t="n">
        <v>25</v>
      </c>
      <c r="B28" s="5" t="s">
        <v>105</v>
      </c>
      <c r="C28" s="5" t="s">
        <v>131</v>
      </c>
      <c r="D28" s="5" t="s">
        <v>73</v>
      </c>
      <c r="E28" s="5" t="s">
        <v>39</v>
      </c>
      <c r="F28" s="5" t="s">
        <v>132</v>
      </c>
      <c r="G28" s="5" t="s">
        <v>133</v>
      </c>
      <c r="H28" s="5" t="s">
        <v>134</v>
      </c>
      <c r="I28" s="5"/>
    </row>
    <row r="29" customFormat="false" ht="15" hidden="false" customHeight="false" outlineLevel="0" collapsed="false">
      <c r="A29" s="5" t="n">
        <v>26</v>
      </c>
      <c r="B29" s="5" t="s">
        <v>105</v>
      </c>
      <c r="C29" s="5" t="s">
        <v>135</v>
      </c>
      <c r="D29" s="5" t="s">
        <v>113</v>
      </c>
      <c r="E29" s="5" t="s">
        <v>114</v>
      </c>
      <c r="F29" s="5" t="s">
        <v>115</v>
      </c>
      <c r="G29" s="5"/>
      <c r="H29" s="5" t="s">
        <v>136</v>
      </c>
      <c r="I29" s="5"/>
    </row>
    <row r="30" customFormat="false" ht="15" hidden="false" customHeight="false" outlineLevel="0" collapsed="false">
      <c r="A30" s="5" t="n">
        <v>27</v>
      </c>
      <c r="B30" s="5" t="s">
        <v>105</v>
      </c>
      <c r="C30" s="5" t="s">
        <v>137</v>
      </c>
      <c r="D30" s="5" t="s">
        <v>44</v>
      </c>
      <c r="E30" s="5" t="s">
        <v>39</v>
      </c>
      <c r="F30" s="5" t="s">
        <v>138</v>
      </c>
      <c r="G30" s="5"/>
      <c r="H30" s="5" t="s">
        <v>139</v>
      </c>
      <c r="I30" s="5" t="s">
        <v>140</v>
      </c>
    </row>
    <row r="31" customFormat="false" ht="15" hidden="false" customHeight="false" outlineLevel="0" collapsed="false">
      <c r="A31" s="5" t="n">
        <v>28</v>
      </c>
      <c r="B31" s="5" t="s">
        <v>105</v>
      </c>
      <c r="C31" s="5" t="s">
        <v>141</v>
      </c>
      <c r="D31" s="5" t="s">
        <v>142</v>
      </c>
      <c r="E31" s="5" t="s">
        <v>35</v>
      </c>
      <c r="F31" s="5" t="s">
        <v>35</v>
      </c>
      <c r="G31" s="5" t="s">
        <v>143</v>
      </c>
      <c r="H31" s="5"/>
      <c r="I31" s="5"/>
    </row>
    <row r="32" customFormat="false" ht="23.85" hidden="false" customHeight="false" outlineLevel="0" collapsed="false">
      <c r="A32" s="5" t="n">
        <v>29</v>
      </c>
      <c r="B32" s="5" t="s">
        <v>144</v>
      </c>
      <c r="C32" s="5" t="s">
        <v>145</v>
      </c>
      <c r="D32" s="5" t="s">
        <v>146</v>
      </c>
      <c r="E32" s="5" t="s">
        <v>114</v>
      </c>
      <c r="F32" s="5" t="s">
        <v>147</v>
      </c>
      <c r="G32" s="5" t="s">
        <v>96</v>
      </c>
      <c r="H32" s="5"/>
      <c r="I32" s="5"/>
    </row>
    <row r="33" customFormat="false" ht="15" hidden="false" customHeight="false" outlineLevel="0" collapsed="false">
      <c r="A33" s="5" t="n">
        <v>30</v>
      </c>
      <c r="B33" s="5" t="s">
        <v>144</v>
      </c>
      <c r="C33" s="5" t="s">
        <v>148</v>
      </c>
      <c r="D33" s="5" t="s">
        <v>44</v>
      </c>
      <c r="E33" s="5" t="s">
        <v>39</v>
      </c>
      <c r="F33" s="5" t="s">
        <v>124</v>
      </c>
      <c r="G33" s="5" t="s">
        <v>149</v>
      </c>
      <c r="H33" s="5" t="s">
        <v>150</v>
      </c>
      <c r="I33" s="5"/>
    </row>
    <row r="34" customFormat="false" ht="23.85" hidden="false" customHeight="false" outlineLevel="0" collapsed="false">
      <c r="A34" s="5" t="n">
        <v>31</v>
      </c>
      <c r="B34" s="5" t="s">
        <v>144</v>
      </c>
      <c r="C34" s="5" t="s">
        <v>151</v>
      </c>
      <c r="D34" s="5" t="s">
        <v>73</v>
      </c>
      <c r="E34" s="5" t="s">
        <v>39</v>
      </c>
      <c r="F34" s="5" t="s">
        <v>50</v>
      </c>
      <c r="G34" s="5" t="s">
        <v>152</v>
      </c>
      <c r="H34" s="5" t="s">
        <v>153</v>
      </c>
      <c r="I34" s="5" t="s">
        <v>154</v>
      </c>
    </row>
    <row r="35" customFormat="false" ht="23.85" hidden="false" customHeight="false" outlineLevel="0" collapsed="false">
      <c r="A35" s="5" t="n">
        <v>32</v>
      </c>
      <c r="B35" s="5" t="s">
        <v>144</v>
      </c>
      <c r="C35" s="5" t="s">
        <v>155</v>
      </c>
      <c r="D35" s="5" t="s">
        <v>73</v>
      </c>
      <c r="E35" s="5" t="s">
        <v>39</v>
      </c>
      <c r="F35" s="5" t="s">
        <v>156</v>
      </c>
      <c r="G35" s="5" t="s">
        <v>157</v>
      </c>
      <c r="H35" s="5" t="s">
        <v>158</v>
      </c>
      <c r="I35" s="5" t="s">
        <v>159</v>
      </c>
    </row>
    <row r="36" customFormat="false" ht="15" hidden="false" customHeight="false" outlineLevel="0" collapsed="false">
      <c r="A36" s="5" t="n">
        <v>33</v>
      </c>
      <c r="B36" s="5" t="s">
        <v>144</v>
      </c>
      <c r="C36" s="5" t="s">
        <v>160</v>
      </c>
      <c r="D36" s="5" t="s">
        <v>161</v>
      </c>
      <c r="E36" s="5" t="s">
        <v>34</v>
      </c>
      <c r="F36" s="5" t="s">
        <v>35</v>
      </c>
      <c r="G36" s="5" t="s">
        <v>96</v>
      </c>
      <c r="H36" s="5"/>
      <c r="I36" s="5"/>
    </row>
    <row r="37" customFormat="false" ht="15" hidden="false" customHeight="false" outlineLevel="0" collapsed="false">
      <c r="A37" s="5" t="n">
        <v>34</v>
      </c>
      <c r="B37" s="5" t="s">
        <v>162</v>
      </c>
      <c r="C37" s="5" t="s">
        <v>163</v>
      </c>
      <c r="D37" s="5" t="s">
        <v>73</v>
      </c>
      <c r="E37" s="5" t="s">
        <v>39</v>
      </c>
      <c r="F37" s="5" t="s">
        <v>164</v>
      </c>
      <c r="G37" s="5" t="s">
        <v>78</v>
      </c>
      <c r="H37" s="5" t="s">
        <v>165</v>
      </c>
      <c r="I37" s="5"/>
    </row>
    <row r="38" customFormat="false" ht="15" hidden="false" customHeight="false" outlineLevel="0" collapsed="false">
      <c r="A38" s="5" t="n">
        <v>35</v>
      </c>
      <c r="B38" s="5" t="s">
        <v>162</v>
      </c>
      <c r="C38" s="5" t="s">
        <v>166</v>
      </c>
      <c r="D38" s="5" t="s">
        <v>167</v>
      </c>
      <c r="E38" s="5" t="s">
        <v>39</v>
      </c>
      <c r="F38" s="5"/>
      <c r="G38" s="5" t="s">
        <v>96</v>
      </c>
      <c r="H38" s="5" t="s">
        <v>168</v>
      </c>
      <c r="I38" s="5"/>
    </row>
    <row r="39" customFormat="false" ht="15" hidden="false" customHeight="false" outlineLevel="0" collapsed="false">
      <c r="A39" s="5" t="n">
        <v>36</v>
      </c>
      <c r="B39" s="5" t="s">
        <v>162</v>
      </c>
      <c r="C39" s="5" t="s">
        <v>169</v>
      </c>
      <c r="D39" s="5" t="s">
        <v>170</v>
      </c>
      <c r="E39" s="5" t="s">
        <v>39</v>
      </c>
      <c r="F39" s="5" t="s">
        <v>171</v>
      </c>
      <c r="G39" s="5" t="s">
        <v>172</v>
      </c>
      <c r="H39" s="5"/>
      <c r="I39" s="5"/>
    </row>
    <row r="40" customFormat="false" ht="15" hidden="false" customHeight="false" outlineLevel="0" collapsed="false">
      <c r="A40" s="5" t="n">
        <v>37</v>
      </c>
      <c r="B40" s="5" t="s">
        <v>162</v>
      </c>
      <c r="C40" s="5" t="s">
        <v>173</v>
      </c>
      <c r="D40" s="5" t="s">
        <v>44</v>
      </c>
      <c r="E40" s="5" t="s">
        <v>39</v>
      </c>
      <c r="F40" s="5" t="s">
        <v>124</v>
      </c>
      <c r="G40" s="5"/>
      <c r="H40" s="5" t="s">
        <v>174</v>
      </c>
      <c r="I40" s="5"/>
    </row>
    <row r="41" customFormat="false" ht="23.85" hidden="false" customHeight="false" outlineLevel="0" collapsed="false">
      <c r="A41" s="5" t="n">
        <v>38</v>
      </c>
      <c r="B41" s="5" t="s">
        <v>162</v>
      </c>
      <c r="C41" s="5" t="s">
        <v>175</v>
      </c>
      <c r="D41" s="5" t="s">
        <v>176</v>
      </c>
      <c r="E41" s="5" t="s">
        <v>114</v>
      </c>
      <c r="F41" s="5" t="s">
        <v>177</v>
      </c>
      <c r="G41" s="5" t="s">
        <v>96</v>
      </c>
      <c r="H41" s="5" t="s">
        <v>178</v>
      </c>
      <c r="I41" s="5" t="s">
        <v>179</v>
      </c>
    </row>
    <row r="42" customFormat="false" ht="23.85" hidden="false" customHeight="false" outlineLevel="0" collapsed="false">
      <c r="A42" s="5" t="n">
        <v>39</v>
      </c>
      <c r="B42" s="5" t="s">
        <v>180</v>
      </c>
      <c r="C42" s="5" t="s">
        <v>181</v>
      </c>
      <c r="D42" s="5" t="s">
        <v>182</v>
      </c>
      <c r="E42" s="5" t="s">
        <v>35</v>
      </c>
      <c r="F42" s="5" t="s">
        <v>183</v>
      </c>
      <c r="G42" s="5" t="s">
        <v>184</v>
      </c>
      <c r="H42" s="5"/>
      <c r="I42" s="5"/>
    </row>
    <row r="43" customFormat="false" ht="15" hidden="false" customHeight="false" outlineLevel="0" collapsed="false">
      <c r="A43" s="5" t="n">
        <v>40</v>
      </c>
      <c r="B43" s="5" t="s">
        <v>180</v>
      </c>
      <c r="C43" s="5" t="s">
        <v>185</v>
      </c>
      <c r="D43" s="5" t="s">
        <v>186</v>
      </c>
      <c r="E43" s="5" t="s">
        <v>39</v>
      </c>
      <c r="F43" s="5" t="s">
        <v>187</v>
      </c>
      <c r="G43" s="5" t="s">
        <v>96</v>
      </c>
      <c r="H43" s="5"/>
      <c r="I43" s="5"/>
    </row>
    <row r="44" customFormat="false" ht="35.05" hidden="false" customHeight="false" outlineLevel="0" collapsed="false">
      <c r="A44" s="5" t="n">
        <v>41</v>
      </c>
      <c r="B44" s="5" t="s">
        <v>180</v>
      </c>
      <c r="C44" s="5" t="s">
        <v>188</v>
      </c>
      <c r="D44" s="5" t="s">
        <v>44</v>
      </c>
      <c r="E44" s="5" t="s">
        <v>39</v>
      </c>
      <c r="F44" s="5" t="s">
        <v>189</v>
      </c>
      <c r="G44" s="5" t="s">
        <v>190</v>
      </c>
      <c r="H44" s="5" t="s">
        <v>191</v>
      </c>
      <c r="I44" s="5" t="s">
        <v>192</v>
      </c>
    </row>
    <row r="45" customFormat="false" ht="23.85" hidden="false" customHeight="false" outlineLevel="0" collapsed="false">
      <c r="A45" s="5" t="n">
        <v>42</v>
      </c>
      <c r="B45" s="5" t="s">
        <v>180</v>
      </c>
      <c r="C45" s="5" t="s">
        <v>193</v>
      </c>
      <c r="D45" s="5" t="s">
        <v>170</v>
      </c>
      <c r="E45" s="5" t="s">
        <v>39</v>
      </c>
      <c r="F45" s="5" t="s">
        <v>194</v>
      </c>
      <c r="G45" s="5"/>
      <c r="H45" s="5" t="s">
        <v>195</v>
      </c>
      <c r="I45" s="5" t="s">
        <v>196</v>
      </c>
    </row>
    <row r="46" customFormat="false" ht="15" hidden="false" customHeight="false" outlineLevel="0" collapsed="false">
      <c r="A46" s="5" t="n">
        <v>43</v>
      </c>
      <c r="B46" s="5" t="s">
        <v>180</v>
      </c>
      <c r="C46" s="5" t="s">
        <v>197</v>
      </c>
      <c r="D46" s="5" t="s">
        <v>99</v>
      </c>
      <c r="E46" s="5" t="s">
        <v>39</v>
      </c>
      <c r="F46" s="5" t="s">
        <v>198</v>
      </c>
      <c r="G46" s="5" t="s">
        <v>199</v>
      </c>
      <c r="H46" s="5" t="s">
        <v>200</v>
      </c>
      <c r="I46" s="5"/>
    </row>
    <row r="47" customFormat="false" ht="15" hidden="false" customHeight="false" outlineLevel="0" collapsed="false">
      <c r="A47" s="5" t="n">
        <v>44</v>
      </c>
      <c r="B47" s="5" t="s">
        <v>180</v>
      </c>
      <c r="C47" s="5" t="s">
        <v>201</v>
      </c>
      <c r="D47" s="5" t="s">
        <v>186</v>
      </c>
      <c r="E47" s="5" t="s">
        <v>39</v>
      </c>
      <c r="F47" s="5" t="s">
        <v>35</v>
      </c>
      <c r="G47" s="5" t="s">
        <v>202</v>
      </c>
      <c r="H47" s="5"/>
      <c r="I47" s="5"/>
    </row>
    <row r="48" customFormat="false" ht="23.85" hidden="false" customHeight="false" outlineLevel="0" collapsed="false">
      <c r="A48" s="5" t="n">
        <v>45</v>
      </c>
      <c r="B48" s="5" t="s">
        <v>180</v>
      </c>
      <c r="C48" s="5" t="s">
        <v>203</v>
      </c>
      <c r="D48" s="5" t="s">
        <v>44</v>
      </c>
      <c r="E48" s="5" t="s">
        <v>39</v>
      </c>
      <c r="F48" s="5" t="s">
        <v>204</v>
      </c>
      <c r="G48" s="5" t="s">
        <v>86</v>
      </c>
      <c r="H48" s="5" t="s">
        <v>205</v>
      </c>
      <c r="I48" s="5" t="s">
        <v>206</v>
      </c>
    </row>
    <row r="49" customFormat="false" ht="23.85" hidden="false" customHeight="false" outlineLevel="0" collapsed="false">
      <c r="A49" s="5" t="n">
        <v>46</v>
      </c>
      <c r="B49" s="5" t="s">
        <v>180</v>
      </c>
      <c r="C49" s="5" t="s">
        <v>207</v>
      </c>
      <c r="D49" s="5" t="s">
        <v>44</v>
      </c>
      <c r="E49" s="5" t="s">
        <v>39</v>
      </c>
      <c r="F49" s="5" t="s">
        <v>208</v>
      </c>
      <c r="G49" s="5" t="s">
        <v>86</v>
      </c>
      <c r="H49" s="5" t="s">
        <v>209</v>
      </c>
      <c r="I49" s="5" t="s">
        <v>210</v>
      </c>
    </row>
    <row r="50" customFormat="false" ht="23.85" hidden="false" customHeight="false" outlineLevel="0" collapsed="false">
      <c r="A50" s="5" t="n">
        <v>47</v>
      </c>
      <c r="B50" s="5" t="s">
        <v>180</v>
      </c>
      <c r="C50" s="5" t="s">
        <v>211</v>
      </c>
      <c r="D50" s="5" t="s">
        <v>38</v>
      </c>
      <c r="E50" s="5" t="s">
        <v>39</v>
      </c>
      <c r="F50" s="5" t="s">
        <v>212</v>
      </c>
      <c r="G50" s="5"/>
      <c r="H50" s="5"/>
      <c r="I50" s="5" t="s">
        <v>213</v>
      </c>
    </row>
    <row r="51" customFormat="false" ht="15" hidden="false" customHeight="false" outlineLevel="0" collapsed="false">
      <c r="A51" s="5" t="n">
        <v>48</v>
      </c>
      <c r="B51" s="5" t="s">
        <v>180</v>
      </c>
      <c r="C51" s="5" t="s">
        <v>214</v>
      </c>
      <c r="D51" s="5" t="s">
        <v>113</v>
      </c>
      <c r="E51" s="5" t="s">
        <v>114</v>
      </c>
      <c r="F51" s="5" t="s">
        <v>215</v>
      </c>
      <c r="G51" s="5"/>
      <c r="H51" s="5" t="s">
        <v>216</v>
      </c>
      <c r="I51" s="5"/>
    </row>
    <row r="52" customFormat="false" ht="15" hidden="false" customHeight="false" outlineLevel="0" collapsed="false">
      <c r="A52" s="5" t="n">
        <v>49</v>
      </c>
      <c r="B52" s="5" t="s">
        <v>180</v>
      </c>
      <c r="C52" s="5" t="s">
        <v>217</v>
      </c>
      <c r="D52" s="5" t="s">
        <v>44</v>
      </c>
      <c r="E52" s="5" t="s">
        <v>39</v>
      </c>
      <c r="F52" s="5" t="s">
        <v>218</v>
      </c>
      <c r="G52" s="5"/>
      <c r="H52" s="5" t="s">
        <v>219</v>
      </c>
      <c r="I52" s="5"/>
    </row>
    <row r="53" customFormat="false" ht="23.85" hidden="false" customHeight="false" outlineLevel="0" collapsed="false">
      <c r="A53" s="5" t="n">
        <v>50</v>
      </c>
      <c r="B53" s="5" t="s">
        <v>220</v>
      </c>
      <c r="C53" s="5" t="s">
        <v>221</v>
      </c>
      <c r="D53" s="5" t="s">
        <v>38</v>
      </c>
      <c r="E53" s="5" t="s">
        <v>39</v>
      </c>
      <c r="F53" s="5" t="s">
        <v>222</v>
      </c>
      <c r="G53" s="5" t="s">
        <v>223</v>
      </c>
      <c r="H53" s="5" t="s">
        <v>224</v>
      </c>
      <c r="I53" s="5"/>
    </row>
    <row r="54" customFormat="false" ht="15" hidden="false" customHeight="false" outlineLevel="0" collapsed="false">
      <c r="A54" s="5" t="n">
        <v>51</v>
      </c>
      <c r="B54" s="5" t="s">
        <v>220</v>
      </c>
      <c r="C54" s="5" t="s">
        <v>225</v>
      </c>
      <c r="D54" s="5" t="s">
        <v>44</v>
      </c>
      <c r="E54" s="5" t="s">
        <v>39</v>
      </c>
      <c r="F54" s="5" t="s">
        <v>218</v>
      </c>
      <c r="G54" s="5"/>
      <c r="H54" s="5" t="s">
        <v>226</v>
      </c>
      <c r="I54" s="5"/>
    </row>
    <row r="55" customFormat="false" ht="15" hidden="false" customHeight="false" outlineLevel="0" collapsed="false">
      <c r="A55" s="5" t="n">
        <v>52</v>
      </c>
      <c r="B55" s="5" t="s">
        <v>227</v>
      </c>
      <c r="C55" s="5" t="s">
        <v>228</v>
      </c>
      <c r="D55" s="5" t="s">
        <v>44</v>
      </c>
      <c r="E55" s="5" t="s">
        <v>39</v>
      </c>
      <c r="F55" s="5" t="s">
        <v>124</v>
      </c>
      <c r="G55" s="5" t="s">
        <v>229</v>
      </c>
      <c r="H55" s="5" t="s">
        <v>230</v>
      </c>
      <c r="I55" s="5"/>
    </row>
    <row r="56" customFormat="false" ht="15" hidden="false" customHeight="false" outlineLevel="0" collapsed="false">
      <c r="A56" s="5" t="n">
        <v>53</v>
      </c>
      <c r="B56" s="5" t="s">
        <v>227</v>
      </c>
      <c r="C56" s="5" t="s">
        <v>231</v>
      </c>
      <c r="D56" s="5" t="s">
        <v>232</v>
      </c>
      <c r="E56" s="5" t="s">
        <v>39</v>
      </c>
      <c r="F56" s="5" t="s">
        <v>233</v>
      </c>
      <c r="G56" s="5" t="s">
        <v>78</v>
      </c>
      <c r="H56" s="5" t="s">
        <v>234</v>
      </c>
      <c r="I56" s="5"/>
    </row>
    <row r="57" customFormat="false" ht="15" hidden="false" customHeight="false" outlineLevel="0" collapsed="false">
      <c r="A57" s="5" t="n">
        <v>54</v>
      </c>
      <c r="B57" s="5" t="s">
        <v>227</v>
      </c>
      <c r="C57" s="5" t="s">
        <v>235</v>
      </c>
      <c r="D57" s="5" t="s">
        <v>73</v>
      </c>
      <c r="E57" s="5" t="s">
        <v>39</v>
      </c>
      <c r="F57" s="5" t="s">
        <v>236</v>
      </c>
      <c r="G57" s="5" t="s">
        <v>78</v>
      </c>
      <c r="H57" s="5" t="s">
        <v>237</v>
      </c>
      <c r="I57" s="5"/>
    </row>
    <row r="58" customFormat="false" ht="15" hidden="false" customHeight="false" outlineLevel="0" collapsed="false">
      <c r="A58" s="5" t="n">
        <v>55</v>
      </c>
      <c r="B58" s="5" t="s">
        <v>227</v>
      </c>
      <c r="C58" s="5" t="s">
        <v>238</v>
      </c>
      <c r="D58" s="5" t="s">
        <v>73</v>
      </c>
      <c r="E58" s="5" t="s">
        <v>39</v>
      </c>
      <c r="F58" s="5" t="s">
        <v>236</v>
      </c>
      <c r="G58" s="5" t="s">
        <v>78</v>
      </c>
      <c r="H58" s="5" t="s">
        <v>239</v>
      </c>
      <c r="I58" s="5"/>
    </row>
    <row r="59" customFormat="false" ht="15" hidden="false" customHeight="false" outlineLevel="0" collapsed="false">
      <c r="A59" s="5" t="n">
        <v>56</v>
      </c>
      <c r="B59" s="5" t="s">
        <v>227</v>
      </c>
      <c r="C59" s="5" t="s">
        <v>240</v>
      </c>
      <c r="D59" s="5" t="s">
        <v>186</v>
      </c>
      <c r="E59" s="5" t="s">
        <v>39</v>
      </c>
      <c r="F59" s="5" t="s">
        <v>241</v>
      </c>
      <c r="G59" s="5" t="s">
        <v>96</v>
      </c>
      <c r="H59" s="5"/>
      <c r="I59" s="5"/>
    </row>
    <row r="60" customFormat="false" ht="15" hidden="false" customHeight="false" outlineLevel="0" collapsed="false">
      <c r="A60" s="5" t="n">
        <v>57</v>
      </c>
      <c r="B60" s="5" t="s">
        <v>227</v>
      </c>
      <c r="C60" s="5" t="s">
        <v>242</v>
      </c>
      <c r="D60" s="5" t="s">
        <v>44</v>
      </c>
      <c r="E60" s="5" t="s">
        <v>39</v>
      </c>
      <c r="F60" s="5" t="s">
        <v>128</v>
      </c>
      <c r="G60" s="5" t="s">
        <v>243</v>
      </c>
      <c r="H60" s="5" t="s">
        <v>244</v>
      </c>
      <c r="I60" s="5"/>
    </row>
    <row r="61" customFormat="false" ht="15" hidden="false" customHeight="false" outlineLevel="0" collapsed="false">
      <c r="A61" s="5" t="n">
        <v>58</v>
      </c>
      <c r="B61" s="5" t="s">
        <v>245</v>
      </c>
      <c r="C61" s="5" t="s">
        <v>246</v>
      </c>
      <c r="D61" s="5" t="s">
        <v>73</v>
      </c>
      <c r="E61" s="5" t="s">
        <v>39</v>
      </c>
      <c r="F61" s="5" t="s">
        <v>164</v>
      </c>
      <c r="G61" s="5" t="s">
        <v>86</v>
      </c>
      <c r="H61" s="5" t="s">
        <v>247</v>
      </c>
      <c r="I61" s="5"/>
    </row>
    <row r="62" customFormat="false" ht="23.85" hidden="false" customHeight="false" outlineLevel="0" collapsed="false">
      <c r="A62" s="5" t="n">
        <v>59</v>
      </c>
      <c r="B62" s="5" t="s">
        <v>245</v>
      </c>
      <c r="C62" s="5" t="s">
        <v>248</v>
      </c>
      <c r="D62" s="5" t="s">
        <v>73</v>
      </c>
      <c r="E62" s="5" t="s">
        <v>39</v>
      </c>
      <c r="F62" s="5" t="s">
        <v>249</v>
      </c>
      <c r="G62" s="5" t="s">
        <v>86</v>
      </c>
      <c r="H62" s="5" t="s">
        <v>250</v>
      </c>
      <c r="I62" s="5"/>
    </row>
    <row r="63" customFormat="false" ht="23.85" hidden="false" customHeight="false" outlineLevel="0" collapsed="false">
      <c r="A63" s="5" t="n">
        <v>60</v>
      </c>
      <c r="B63" s="5" t="s">
        <v>245</v>
      </c>
      <c r="C63" s="5" t="s">
        <v>251</v>
      </c>
      <c r="D63" s="5" t="s">
        <v>252</v>
      </c>
      <c r="E63" s="5" t="s">
        <v>39</v>
      </c>
      <c r="F63" s="5"/>
      <c r="G63" s="5" t="s">
        <v>253</v>
      </c>
      <c r="H63" s="5"/>
      <c r="I63" s="5"/>
    </row>
    <row r="64" customFormat="false" ht="15" hidden="false" customHeight="false" outlineLevel="0" collapsed="false">
      <c r="A64" s="5" t="n">
        <v>61</v>
      </c>
      <c r="B64" s="5" t="s">
        <v>245</v>
      </c>
      <c r="C64" s="5" t="s">
        <v>254</v>
      </c>
      <c r="D64" s="5" t="s">
        <v>142</v>
      </c>
      <c r="E64" s="5" t="s">
        <v>35</v>
      </c>
      <c r="F64" s="5" t="s">
        <v>255</v>
      </c>
      <c r="G64" s="5" t="s">
        <v>256</v>
      </c>
      <c r="H64" s="5"/>
      <c r="I64" s="5"/>
    </row>
    <row r="65" customFormat="false" ht="23.85" hidden="false" customHeight="false" outlineLevel="0" collapsed="false">
      <c r="A65" s="5" t="n">
        <v>62</v>
      </c>
      <c r="B65" s="5" t="s">
        <v>245</v>
      </c>
      <c r="C65" s="5" t="s">
        <v>257</v>
      </c>
      <c r="D65" s="5" t="s">
        <v>38</v>
      </c>
      <c r="E65" s="5" t="s">
        <v>39</v>
      </c>
      <c r="F65" s="5" t="s">
        <v>258</v>
      </c>
      <c r="G65" s="5" t="s">
        <v>104</v>
      </c>
      <c r="H65" s="5"/>
      <c r="I65" s="5"/>
    </row>
    <row r="66" customFormat="false" ht="15" hidden="false" customHeight="false" outlineLevel="0" collapsed="false">
      <c r="A66" s="5" t="n">
        <v>63</v>
      </c>
      <c r="B66" s="5" t="s">
        <v>245</v>
      </c>
      <c r="C66" s="5" t="s">
        <v>259</v>
      </c>
      <c r="D66" s="5" t="s">
        <v>44</v>
      </c>
      <c r="E66" s="5" t="s">
        <v>39</v>
      </c>
      <c r="F66" s="5" t="s">
        <v>260</v>
      </c>
      <c r="G66" s="5" t="s">
        <v>261</v>
      </c>
      <c r="H66" s="5" t="s">
        <v>262</v>
      </c>
      <c r="I66" s="5"/>
    </row>
    <row r="67" customFormat="false" ht="15" hidden="false" customHeight="false" outlineLevel="0" collapsed="false">
      <c r="A67" s="5" t="n">
        <v>64</v>
      </c>
      <c r="B67" s="5" t="s">
        <v>245</v>
      </c>
      <c r="C67" s="5" t="s">
        <v>263</v>
      </c>
      <c r="D67" s="5" t="s">
        <v>44</v>
      </c>
      <c r="E67" s="5" t="s">
        <v>39</v>
      </c>
      <c r="F67" s="5" t="s">
        <v>264</v>
      </c>
      <c r="G67" s="5" t="s">
        <v>265</v>
      </c>
      <c r="H67" s="5" t="s">
        <v>266</v>
      </c>
      <c r="I67" s="5"/>
    </row>
    <row r="68" customFormat="false" ht="15" hidden="false" customHeight="false" outlineLevel="0" collapsed="false">
      <c r="A68" s="5" t="n">
        <v>65</v>
      </c>
      <c r="B68" s="5" t="s">
        <v>267</v>
      </c>
      <c r="C68" s="5" t="s">
        <v>268</v>
      </c>
      <c r="D68" s="5" t="s">
        <v>186</v>
      </c>
      <c r="E68" s="5" t="s">
        <v>114</v>
      </c>
      <c r="F68" s="5" t="s">
        <v>35</v>
      </c>
      <c r="G68" s="5" t="s">
        <v>269</v>
      </c>
      <c r="H68" s="5"/>
      <c r="I68" s="5"/>
    </row>
    <row r="69" customFormat="false" ht="15" hidden="false" customHeight="false" outlineLevel="0" collapsed="false">
      <c r="A69" s="5" t="n">
        <v>66</v>
      </c>
      <c r="B69" s="5" t="s">
        <v>267</v>
      </c>
      <c r="C69" s="5" t="s">
        <v>270</v>
      </c>
      <c r="D69" s="5" t="s">
        <v>113</v>
      </c>
      <c r="E69" s="5" t="s">
        <v>114</v>
      </c>
      <c r="F69" s="5" t="s">
        <v>271</v>
      </c>
      <c r="G69" s="5" t="s">
        <v>272</v>
      </c>
      <c r="H69" s="5" t="s">
        <v>273</v>
      </c>
      <c r="I69" s="5"/>
    </row>
    <row r="70" customFormat="false" ht="15" hidden="false" customHeight="false" outlineLevel="0" collapsed="false">
      <c r="A70" s="5" t="n">
        <v>67</v>
      </c>
      <c r="B70" s="5" t="s">
        <v>267</v>
      </c>
      <c r="C70" s="5" t="s">
        <v>274</v>
      </c>
      <c r="D70" s="5" t="s">
        <v>275</v>
      </c>
      <c r="E70" s="5" t="s">
        <v>114</v>
      </c>
      <c r="F70" s="5" t="s">
        <v>276</v>
      </c>
      <c r="G70" s="5" t="s">
        <v>272</v>
      </c>
      <c r="H70" s="5"/>
      <c r="I70" s="5"/>
    </row>
    <row r="71" customFormat="false" ht="15" hidden="false" customHeight="false" outlineLevel="0" collapsed="false">
      <c r="A71" s="5" t="n">
        <v>68</v>
      </c>
      <c r="B71" s="5" t="s">
        <v>267</v>
      </c>
      <c r="C71" s="5" t="s">
        <v>277</v>
      </c>
      <c r="D71" s="5" t="s">
        <v>44</v>
      </c>
      <c r="E71" s="5" t="s">
        <v>114</v>
      </c>
      <c r="F71" s="5"/>
      <c r="G71" s="5" t="s">
        <v>278</v>
      </c>
      <c r="H71" s="5"/>
      <c r="I71" s="5"/>
    </row>
    <row r="72" customFormat="false" ht="23.85" hidden="false" customHeight="false" outlineLevel="0" collapsed="false">
      <c r="A72" s="5" t="n">
        <v>69</v>
      </c>
      <c r="B72" s="5" t="s">
        <v>267</v>
      </c>
      <c r="C72" s="5" t="s">
        <v>279</v>
      </c>
      <c r="D72" s="5" t="s">
        <v>113</v>
      </c>
      <c r="E72" s="5" t="s">
        <v>114</v>
      </c>
      <c r="F72" s="5" t="s">
        <v>280</v>
      </c>
      <c r="G72" s="5" t="s">
        <v>281</v>
      </c>
      <c r="H72" s="5" t="s">
        <v>282</v>
      </c>
      <c r="I72" s="5" t="s">
        <v>283</v>
      </c>
    </row>
    <row r="73" customFormat="false" ht="15" hidden="false" customHeight="false" outlineLevel="0" collapsed="false">
      <c r="A73" s="5" t="n">
        <v>70</v>
      </c>
      <c r="B73" s="5" t="s">
        <v>284</v>
      </c>
      <c r="C73" s="5" t="s">
        <v>285</v>
      </c>
      <c r="D73" s="5" t="s">
        <v>186</v>
      </c>
      <c r="E73" s="5" t="s">
        <v>39</v>
      </c>
      <c r="F73" s="5"/>
      <c r="G73" s="5" t="s">
        <v>96</v>
      </c>
      <c r="H73" s="5"/>
      <c r="I73" s="5"/>
    </row>
    <row r="74" customFormat="false" ht="15" hidden="false" customHeight="false" outlineLevel="0" collapsed="false">
      <c r="A74" s="5" t="n">
        <v>71</v>
      </c>
      <c r="B74" s="5" t="s">
        <v>284</v>
      </c>
      <c r="C74" s="5" t="s">
        <v>286</v>
      </c>
      <c r="D74" s="5" t="s">
        <v>44</v>
      </c>
      <c r="E74" s="5" t="s">
        <v>39</v>
      </c>
      <c r="F74" s="5" t="s">
        <v>287</v>
      </c>
      <c r="G74" s="5" t="s">
        <v>86</v>
      </c>
      <c r="H74" s="5" t="s">
        <v>288</v>
      </c>
      <c r="I74" s="5"/>
    </row>
    <row r="75" customFormat="false" ht="15" hidden="false" customHeight="false" outlineLevel="0" collapsed="false">
      <c r="A75" s="5" t="n">
        <v>72</v>
      </c>
      <c r="B75" s="5" t="s">
        <v>284</v>
      </c>
      <c r="C75" s="5" t="s">
        <v>43</v>
      </c>
      <c r="D75" s="5" t="s">
        <v>44</v>
      </c>
      <c r="E75" s="5" t="s">
        <v>39</v>
      </c>
      <c r="F75" s="5" t="s">
        <v>289</v>
      </c>
      <c r="G75" s="5" t="s">
        <v>290</v>
      </c>
      <c r="H75" s="5" t="s">
        <v>291</v>
      </c>
      <c r="I75" s="5"/>
    </row>
    <row r="76" customFormat="false" ht="35.05" hidden="false" customHeight="false" outlineLevel="0" collapsed="false">
      <c r="A76" s="5" t="n">
        <v>73</v>
      </c>
      <c r="B76" s="5" t="s">
        <v>284</v>
      </c>
      <c r="C76" s="5" t="s">
        <v>292</v>
      </c>
      <c r="D76" s="5" t="s">
        <v>44</v>
      </c>
      <c r="E76" s="5" t="s">
        <v>39</v>
      </c>
      <c r="F76" s="5" t="s">
        <v>293</v>
      </c>
      <c r="G76" s="5" t="s">
        <v>294</v>
      </c>
      <c r="H76" s="5" t="s">
        <v>295</v>
      </c>
      <c r="I76" s="5" t="s">
        <v>296</v>
      </c>
    </row>
    <row r="77" customFormat="false" ht="15" hidden="false" customHeight="false" outlineLevel="0" collapsed="false">
      <c r="A77" s="5" t="n">
        <v>74</v>
      </c>
      <c r="B77" s="5" t="s">
        <v>284</v>
      </c>
      <c r="C77" s="5" t="s">
        <v>297</v>
      </c>
      <c r="D77" s="5" t="s">
        <v>186</v>
      </c>
      <c r="E77" s="5" t="s">
        <v>34</v>
      </c>
      <c r="F77" s="5"/>
      <c r="G77" s="5" t="s">
        <v>78</v>
      </c>
      <c r="H77" s="5"/>
      <c r="I77" s="5"/>
    </row>
    <row r="78" customFormat="false" ht="15" hidden="false" customHeight="false" outlineLevel="0" collapsed="false">
      <c r="A78" s="5" t="n">
        <v>75</v>
      </c>
      <c r="B78" s="5" t="s">
        <v>298</v>
      </c>
      <c r="C78" s="5" t="s">
        <v>299</v>
      </c>
      <c r="D78" s="5" t="s">
        <v>73</v>
      </c>
      <c r="E78" s="5" t="s">
        <v>39</v>
      </c>
      <c r="F78" s="5" t="s">
        <v>300</v>
      </c>
      <c r="G78" s="5" t="s">
        <v>301</v>
      </c>
      <c r="H78" s="5" t="s">
        <v>273</v>
      </c>
      <c r="I78" s="5"/>
    </row>
    <row r="79" customFormat="false" ht="23.85" hidden="false" customHeight="false" outlineLevel="0" collapsed="false">
      <c r="A79" s="5" t="n">
        <v>76</v>
      </c>
      <c r="B79" s="5" t="s">
        <v>298</v>
      </c>
      <c r="C79" s="5" t="s">
        <v>302</v>
      </c>
      <c r="D79" s="5" t="s">
        <v>99</v>
      </c>
      <c r="E79" s="5" t="s">
        <v>39</v>
      </c>
      <c r="F79" s="5" t="s">
        <v>303</v>
      </c>
      <c r="G79" s="5" t="s">
        <v>301</v>
      </c>
      <c r="H79" s="5" t="s">
        <v>304</v>
      </c>
      <c r="I79" s="5" t="s">
        <v>305</v>
      </c>
    </row>
    <row r="80" customFormat="false" ht="23.85" hidden="false" customHeight="false" outlineLevel="0" collapsed="false">
      <c r="A80" s="5" t="n">
        <v>77</v>
      </c>
      <c r="B80" s="5" t="s">
        <v>298</v>
      </c>
      <c r="C80" s="5" t="s">
        <v>306</v>
      </c>
      <c r="D80" s="5" t="s">
        <v>307</v>
      </c>
      <c r="E80" s="5" t="s">
        <v>39</v>
      </c>
      <c r="F80" s="5" t="s">
        <v>308</v>
      </c>
      <c r="G80" s="5"/>
      <c r="H80" s="5" t="s">
        <v>309</v>
      </c>
      <c r="I80" s="5"/>
    </row>
    <row r="81" customFormat="false" ht="15" hidden="false" customHeight="false" outlineLevel="0" collapsed="false">
      <c r="A81" s="5" t="n">
        <v>78</v>
      </c>
      <c r="B81" s="5" t="s">
        <v>298</v>
      </c>
      <c r="C81" s="5" t="s">
        <v>310</v>
      </c>
      <c r="D81" s="5" t="s">
        <v>44</v>
      </c>
      <c r="E81" s="5" t="s">
        <v>39</v>
      </c>
      <c r="F81" s="5"/>
      <c r="G81" s="5" t="s">
        <v>86</v>
      </c>
      <c r="H81" s="5"/>
      <c r="I81" s="5"/>
    </row>
    <row r="82" customFormat="false" ht="23.85" hidden="false" customHeight="false" outlineLevel="0" collapsed="false">
      <c r="A82" s="5" t="n">
        <v>79</v>
      </c>
      <c r="B82" s="5" t="s">
        <v>311</v>
      </c>
      <c r="C82" s="5" t="s">
        <v>312</v>
      </c>
      <c r="D82" s="5" t="s">
        <v>33</v>
      </c>
      <c r="E82" s="5" t="s">
        <v>34</v>
      </c>
      <c r="F82" s="5" t="s">
        <v>35</v>
      </c>
      <c r="G82" s="5" t="s">
        <v>78</v>
      </c>
      <c r="H82" s="5"/>
      <c r="I82" s="5"/>
    </row>
    <row r="83" customFormat="false" ht="15" hidden="false" customHeight="false" outlineLevel="0" collapsed="false">
      <c r="A83" s="5" t="n">
        <v>80</v>
      </c>
      <c r="B83" s="5" t="s">
        <v>311</v>
      </c>
      <c r="C83" s="5" t="s">
        <v>313</v>
      </c>
      <c r="D83" s="5" t="s">
        <v>33</v>
      </c>
      <c r="E83" s="5" t="s">
        <v>34</v>
      </c>
      <c r="F83" s="5" t="s">
        <v>35</v>
      </c>
      <c r="G83" s="5" t="s">
        <v>314</v>
      </c>
      <c r="H83" s="5"/>
      <c r="I83" s="5"/>
    </row>
    <row r="84" customFormat="false" ht="23.85" hidden="false" customHeight="false" outlineLevel="0" collapsed="false">
      <c r="A84" s="5" t="n">
        <v>81</v>
      </c>
      <c r="B84" s="5" t="s">
        <v>311</v>
      </c>
      <c r="C84" s="5" t="s">
        <v>315</v>
      </c>
      <c r="D84" s="5" t="s">
        <v>252</v>
      </c>
      <c r="E84" s="5" t="s">
        <v>316</v>
      </c>
      <c r="F84" s="5" t="s">
        <v>317</v>
      </c>
      <c r="G84" s="5" t="s">
        <v>86</v>
      </c>
      <c r="H84" s="5" t="s">
        <v>318</v>
      </c>
      <c r="I84" s="5"/>
    </row>
    <row r="85" customFormat="false" ht="23.85" hidden="false" customHeight="false" outlineLevel="0" collapsed="false">
      <c r="A85" s="5" t="n">
        <v>82</v>
      </c>
      <c r="B85" s="5" t="s">
        <v>311</v>
      </c>
      <c r="C85" s="5" t="s">
        <v>319</v>
      </c>
      <c r="D85" s="5" t="s">
        <v>63</v>
      </c>
      <c r="E85" s="5" t="s">
        <v>320</v>
      </c>
      <c r="F85" s="5" t="s">
        <v>321</v>
      </c>
      <c r="G85" s="5" t="s">
        <v>322</v>
      </c>
      <c r="H85" s="5" t="s">
        <v>323</v>
      </c>
      <c r="I85" s="5"/>
    </row>
    <row r="86" customFormat="false" ht="23.85" hidden="false" customHeight="false" outlineLevel="0" collapsed="false">
      <c r="A86" s="5" t="n">
        <v>83</v>
      </c>
      <c r="B86" s="5" t="s">
        <v>311</v>
      </c>
      <c r="C86" s="5" t="s">
        <v>324</v>
      </c>
      <c r="D86" s="5" t="s">
        <v>73</v>
      </c>
      <c r="E86" s="5" t="s">
        <v>39</v>
      </c>
      <c r="F86" s="5" t="s">
        <v>325</v>
      </c>
      <c r="G86" s="5" t="s">
        <v>326</v>
      </c>
      <c r="H86" s="5" t="s">
        <v>327</v>
      </c>
      <c r="I86" s="5"/>
    </row>
    <row r="87" customFormat="false" ht="15" hidden="false" customHeight="false" outlineLevel="0" collapsed="false">
      <c r="A87" s="5" t="n">
        <v>84</v>
      </c>
      <c r="B87" s="5" t="s">
        <v>311</v>
      </c>
      <c r="C87" s="5" t="s">
        <v>328</v>
      </c>
      <c r="D87" s="5" t="s">
        <v>161</v>
      </c>
      <c r="E87" s="5" t="s">
        <v>329</v>
      </c>
      <c r="F87" s="5" t="s">
        <v>330</v>
      </c>
      <c r="G87" s="5"/>
      <c r="H87" s="5" t="s">
        <v>331</v>
      </c>
      <c r="I87" s="5"/>
    </row>
    <row r="88" customFormat="false" ht="23.85" hidden="false" customHeight="false" outlineLevel="0" collapsed="false">
      <c r="A88" s="5" t="n">
        <v>85</v>
      </c>
      <c r="B88" s="5" t="s">
        <v>311</v>
      </c>
      <c r="C88" s="5" t="s">
        <v>332</v>
      </c>
      <c r="D88" s="5" t="s">
        <v>333</v>
      </c>
      <c r="E88" s="5" t="s">
        <v>334</v>
      </c>
      <c r="F88" s="5" t="s">
        <v>335</v>
      </c>
      <c r="G88" s="5" t="s">
        <v>336</v>
      </c>
      <c r="H88" s="5" t="s">
        <v>337</v>
      </c>
      <c r="I88" s="5"/>
    </row>
    <row r="89" customFormat="false" ht="23.85" hidden="false" customHeight="false" outlineLevel="0" collapsed="false">
      <c r="A89" s="5" t="n">
        <v>86</v>
      </c>
      <c r="B89" s="5" t="s">
        <v>311</v>
      </c>
      <c r="C89" s="5" t="s">
        <v>338</v>
      </c>
      <c r="D89" s="5" t="s">
        <v>252</v>
      </c>
      <c r="E89" s="5" t="s">
        <v>39</v>
      </c>
      <c r="F89" s="5"/>
      <c r="G89" s="5" t="s">
        <v>86</v>
      </c>
      <c r="H89" s="5"/>
      <c r="I89" s="5"/>
    </row>
    <row r="90" customFormat="false" ht="23.85" hidden="false" customHeight="false" outlineLevel="0" collapsed="false">
      <c r="A90" s="5" t="n">
        <v>87</v>
      </c>
      <c r="B90" s="5" t="s">
        <v>339</v>
      </c>
      <c r="C90" s="5" t="s">
        <v>340</v>
      </c>
      <c r="D90" s="5" t="s">
        <v>38</v>
      </c>
      <c r="E90" s="5" t="s">
        <v>341</v>
      </c>
      <c r="F90" s="5" t="s">
        <v>342</v>
      </c>
      <c r="G90" s="5"/>
      <c r="H90" s="5"/>
      <c r="I90" s="5" t="s">
        <v>343</v>
      </c>
    </row>
    <row r="91" customFormat="false" ht="23.85" hidden="false" customHeight="false" outlineLevel="0" collapsed="false">
      <c r="A91" s="5" t="n">
        <v>88</v>
      </c>
      <c r="B91" s="5" t="s">
        <v>339</v>
      </c>
      <c r="C91" s="5" t="s">
        <v>344</v>
      </c>
      <c r="D91" s="5" t="s">
        <v>33</v>
      </c>
      <c r="E91" s="5" t="s">
        <v>34</v>
      </c>
      <c r="F91" s="5" t="s">
        <v>345</v>
      </c>
      <c r="G91" s="5"/>
      <c r="H91" s="5"/>
      <c r="I91" s="5" t="s">
        <v>346</v>
      </c>
    </row>
    <row r="92" customFormat="false" ht="15" hidden="false" customHeight="false" outlineLevel="0" collapsed="false">
      <c r="A92" s="5" t="n">
        <v>89</v>
      </c>
      <c r="B92" s="5" t="s">
        <v>339</v>
      </c>
      <c r="C92" s="5" t="s">
        <v>347</v>
      </c>
      <c r="D92" s="5" t="s">
        <v>170</v>
      </c>
      <c r="E92" s="5" t="s">
        <v>34</v>
      </c>
      <c r="F92" s="5" t="s">
        <v>348</v>
      </c>
      <c r="G92" s="5" t="s">
        <v>349</v>
      </c>
      <c r="H92" s="5"/>
      <c r="I92" s="5" t="s">
        <v>350</v>
      </c>
    </row>
    <row r="93" customFormat="false" ht="15" hidden="false" customHeight="false" outlineLevel="0" collapsed="false">
      <c r="A93" s="5" t="n">
        <v>90</v>
      </c>
      <c r="B93" s="5" t="s">
        <v>339</v>
      </c>
      <c r="C93" s="5" t="s">
        <v>351</v>
      </c>
      <c r="D93" s="5" t="s">
        <v>33</v>
      </c>
      <c r="E93" s="5" t="s">
        <v>34</v>
      </c>
      <c r="F93" s="5" t="s">
        <v>352</v>
      </c>
      <c r="G93" s="5" t="s">
        <v>353</v>
      </c>
      <c r="H93" s="5"/>
      <c r="I93" s="5" t="s">
        <v>354</v>
      </c>
    </row>
    <row r="94" customFormat="false" ht="15" hidden="false" customHeight="false" outlineLevel="0" collapsed="false">
      <c r="A94" s="5" t="n">
        <v>91</v>
      </c>
      <c r="B94" s="5" t="s">
        <v>339</v>
      </c>
      <c r="C94" s="5" t="s">
        <v>355</v>
      </c>
      <c r="D94" s="5" t="s">
        <v>33</v>
      </c>
      <c r="E94" s="5" t="s">
        <v>34</v>
      </c>
      <c r="F94" s="5"/>
      <c r="G94" s="5"/>
      <c r="H94" s="5"/>
      <c r="I94" s="5" t="s">
        <v>356</v>
      </c>
    </row>
    <row r="95" customFormat="false" ht="23.85" hidden="false" customHeight="false" outlineLevel="0" collapsed="false">
      <c r="A95" s="5" t="n">
        <v>92</v>
      </c>
      <c r="B95" s="5" t="s">
        <v>339</v>
      </c>
      <c r="C95" s="5" t="s">
        <v>357</v>
      </c>
      <c r="D95" s="5" t="s">
        <v>170</v>
      </c>
      <c r="E95" s="5" t="s">
        <v>358</v>
      </c>
      <c r="F95" s="5" t="s">
        <v>359</v>
      </c>
      <c r="G95" s="5"/>
      <c r="H95" s="5"/>
      <c r="I95" s="5" t="s">
        <v>360</v>
      </c>
    </row>
    <row r="96" customFormat="false" ht="15" hidden="false" customHeight="false" outlineLevel="0" collapsed="false">
      <c r="A96" s="5" t="n">
        <v>93</v>
      </c>
      <c r="B96" s="5" t="s">
        <v>339</v>
      </c>
      <c r="C96" s="5" t="s">
        <v>361</v>
      </c>
      <c r="D96" s="5" t="s">
        <v>161</v>
      </c>
      <c r="E96" s="5" t="s">
        <v>329</v>
      </c>
      <c r="F96" s="5" t="s">
        <v>362</v>
      </c>
      <c r="G96" s="5"/>
      <c r="H96" s="5"/>
      <c r="I96" s="5" t="s">
        <v>363</v>
      </c>
    </row>
  </sheetData>
  <autoFilter ref="A3:I9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6"/>
    <col collapsed="false" customWidth="true" hidden="false" outlineLevel="0" max="3" min="3" style="0" width="14"/>
    <col collapsed="false" customWidth="true" hidden="false" outlineLevel="0" max="4" min="4" style="0" width="11"/>
    <col collapsed="false" customWidth="true" hidden="false" outlineLevel="0" max="5" min="5" style="0" width="38"/>
    <col collapsed="false" customWidth="true" hidden="false" outlineLevel="0" max="6" min="6" style="0" width="42"/>
    <col collapsed="false" customWidth="true" hidden="false" outlineLevel="0" max="7" min="7" style="0" width="12"/>
    <col collapsed="false" customWidth="true" hidden="false" outlineLevel="0" max="8" min="8" style="0" width="10"/>
    <col collapsed="false" customWidth="true" hidden="false" outlineLevel="0" max="9" min="9" style="0" width="8"/>
    <col collapsed="false" customWidth="true" hidden="false" outlineLevel="0" max="10" min="10" style="0" width="7"/>
    <col collapsed="false" customWidth="true" hidden="false" outlineLevel="0" max="11" min="11" style="0" width="6"/>
    <col collapsed="false" customWidth="true" hidden="false" outlineLevel="0" max="13" min="12" style="0" width="11"/>
    <col collapsed="false" customWidth="true" hidden="false" outlineLevel="0" max="14" min="14" style="0" width="26"/>
    <col collapsed="false" customWidth="true" hidden="false" outlineLevel="0" max="16" min="15" style="0" width="10"/>
    <col collapsed="false" customWidth="true" hidden="false" outlineLevel="0" max="17" min="17" style="0" width="7"/>
    <col collapsed="false" customWidth="true" hidden="false" outlineLevel="0" max="18" min="18" style="0" width="46"/>
    <col collapsed="false" customWidth="true" hidden="false" outlineLevel="0" max="19" min="19" style="0" width="7"/>
    <col collapsed="false" customWidth="true" hidden="false" outlineLevel="0" max="20" min="20" style="0" width="8"/>
    <col collapsed="false" customWidth="true" hidden="false" outlineLevel="0" max="21" min="21" style="0" width="14"/>
    <col collapsed="false" customWidth="true" hidden="false" outlineLevel="0" max="22" min="22" style="0" width="9"/>
  </cols>
  <sheetData>
    <row r="1" customFormat="false" ht="17.35" hidden="false" customHeight="false" outlineLevel="0" collapsed="false">
      <c r="A1" s="1" t="s">
        <v>364</v>
      </c>
    </row>
    <row r="2" customFormat="false" ht="15" hidden="false" customHeight="false" outlineLevel="0" collapsed="false">
      <c r="A2" s="2" t="s">
        <v>365</v>
      </c>
      <c r="C2" s="6" t="n">
        <v>1.09</v>
      </c>
      <c r="E2" s="7" t="s">
        <v>366</v>
      </c>
    </row>
    <row r="3" customFormat="false" ht="15" hidden="false" customHeight="false" outlineLevel="0" collapsed="false">
      <c r="A3" s="7" t="s">
        <v>367</v>
      </c>
      <c r="I3" s="2" t="n">
        <f aca="false">COUNT(O6:O224)</f>
        <v>217</v>
      </c>
    </row>
    <row r="4" customFormat="false" ht="45" hidden="false" customHeight="true" outlineLevel="0" collapsed="false">
      <c r="U4" s="3" t="s">
        <v>368</v>
      </c>
    </row>
    <row r="5" customFormat="false" ht="45" hidden="false" customHeight="true" outlineLevel="0" collapsed="false">
      <c r="A5" s="4" t="s">
        <v>22</v>
      </c>
      <c r="B5" s="4" t="s">
        <v>369</v>
      </c>
      <c r="C5" s="4" t="s">
        <v>24</v>
      </c>
      <c r="D5" s="4" t="s">
        <v>25</v>
      </c>
      <c r="E5" s="4" t="s">
        <v>370</v>
      </c>
      <c r="F5" s="4" t="s">
        <v>371</v>
      </c>
      <c r="G5" s="4" t="s">
        <v>372</v>
      </c>
      <c r="H5" s="4" t="s">
        <v>373</v>
      </c>
      <c r="I5" s="4" t="s">
        <v>374</v>
      </c>
      <c r="J5" s="4" t="s">
        <v>375</v>
      </c>
      <c r="K5" s="4" t="s">
        <v>376</v>
      </c>
      <c r="L5" s="4" t="s">
        <v>377</v>
      </c>
      <c r="M5" s="4" t="s">
        <v>378</v>
      </c>
      <c r="N5" s="4" t="s">
        <v>379</v>
      </c>
      <c r="O5" s="4" t="s">
        <v>380</v>
      </c>
      <c r="P5" s="4" t="s">
        <v>381</v>
      </c>
      <c r="Q5" s="4" t="s">
        <v>382</v>
      </c>
      <c r="R5" s="4" t="s">
        <v>383</v>
      </c>
      <c r="S5" s="4" t="s">
        <v>384</v>
      </c>
      <c r="T5" s="4" t="s">
        <v>385</v>
      </c>
      <c r="U5" s="4" t="s">
        <v>386</v>
      </c>
      <c r="V5" s="4" t="s">
        <v>387</v>
      </c>
    </row>
    <row r="6" customFormat="false" ht="15" hidden="false" customHeight="false" outlineLevel="0" collapsed="false">
      <c r="A6" s="8" t="n">
        <v>1</v>
      </c>
      <c r="B6" s="8" t="s">
        <v>31</v>
      </c>
      <c r="C6" s="8" t="s">
        <v>43</v>
      </c>
      <c r="D6" s="8" t="s">
        <v>44</v>
      </c>
      <c r="E6" s="5" t="s">
        <v>388</v>
      </c>
      <c r="F6" s="9" t="s">
        <v>389</v>
      </c>
      <c r="G6" s="10" t="s">
        <v>390</v>
      </c>
      <c r="H6" s="10" t="s">
        <v>391</v>
      </c>
      <c r="I6" s="10" t="n">
        <v>1</v>
      </c>
      <c r="J6" s="11" t="n">
        <v>20</v>
      </c>
      <c r="K6" s="10" t="s">
        <v>392</v>
      </c>
      <c r="L6" s="12" t="n">
        <v>494</v>
      </c>
      <c r="M6" s="13" t="n">
        <f aca="false">IF(L6="","",L6*$C$2)</f>
        <v>538.46</v>
      </c>
      <c r="N6" s="5" t="s">
        <v>393</v>
      </c>
      <c r="O6" s="11" t="n">
        <v>0.4</v>
      </c>
      <c r="P6" s="14" t="n">
        <v>1</v>
      </c>
      <c r="Q6" s="15" t="n">
        <v>0.05</v>
      </c>
      <c r="R6" s="5" t="s">
        <v>394</v>
      </c>
      <c r="S6" s="10" t="s">
        <v>395</v>
      </c>
      <c r="T6" s="10" t="s">
        <v>396</v>
      </c>
      <c r="U6" s="13" t="n">
        <f aca="false">IF(OR(O6="",M6="",J6=""),"",IF(OR(D6="Coverage",D6="Thickness"),M6/J6*O6*IF(P6="",1,P6)*(1+IF(Q6="",0,Q6)),IF(O6=0,"",M6/O6*IF(P6="",1,P6)*(1+IF(Q6="",0,Q6)))))</f>
        <v>11.30766</v>
      </c>
      <c r="V6" s="16" t="n">
        <v>-1</v>
      </c>
    </row>
    <row r="7" customFormat="false" ht="15" hidden="false" customHeight="false" outlineLevel="0" collapsed="false">
      <c r="A7" s="8" t="n">
        <v>2</v>
      </c>
      <c r="B7" s="8" t="s">
        <v>31</v>
      </c>
      <c r="C7" s="8" t="s">
        <v>43</v>
      </c>
      <c r="D7" s="8" t="s">
        <v>44</v>
      </c>
      <c r="E7" s="5" t="s">
        <v>397</v>
      </c>
      <c r="F7" s="9" t="s">
        <v>398</v>
      </c>
      <c r="G7" s="10" t="s">
        <v>399</v>
      </c>
      <c r="H7" s="10" t="s">
        <v>391</v>
      </c>
      <c r="I7" s="10" t="n">
        <v>1</v>
      </c>
      <c r="J7" s="11" t="n">
        <v>25</v>
      </c>
      <c r="K7" s="10" t="s">
        <v>392</v>
      </c>
      <c r="L7" s="12" t="n">
        <v>308.75</v>
      </c>
      <c r="M7" s="13" t="n">
        <f aca="false">IF(L7="","",L7*$C$2)</f>
        <v>336.5375</v>
      </c>
      <c r="N7" s="5" t="s">
        <v>393</v>
      </c>
      <c r="O7" s="11" t="n">
        <v>0.15</v>
      </c>
      <c r="P7" s="14" t="n">
        <v>1</v>
      </c>
      <c r="Q7" s="15" t="n">
        <v>0.05</v>
      </c>
      <c r="R7" s="5" t="s">
        <v>400</v>
      </c>
      <c r="S7" s="10" t="s">
        <v>395</v>
      </c>
      <c r="T7" s="10" t="s">
        <v>396</v>
      </c>
      <c r="U7" s="13" t="n">
        <f aca="false">IF(OR(O7="",M7="",J7=""),"",IF(OR(D7="Coverage",D7="Thickness"),M7/J7*O7*IF(P7="",1,P7)*(1+IF(Q7="",0,Q7)),IF(O7=0,"",M7/O7*IF(P7="",1,P7)*(1+IF(Q7="",0,Q7)))))</f>
        <v>2.12018625</v>
      </c>
      <c r="V7" s="16" t="n">
        <v>50</v>
      </c>
    </row>
    <row r="8" customFormat="false" ht="15" hidden="false" customHeight="false" outlineLevel="0" collapsed="false">
      <c r="A8" s="8" t="n">
        <v>3</v>
      </c>
      <c r="B8" s="8" t="s">
        <v>31</v>
      </c>
      <c r="C8" s="8" t="s">
        <v>43</v>
      </c>
      <c r="D8" s="8" t="s">
        <v>44</v>
      </c>
      <c r="E8" s="5" t="s">
        <v>401</v>
      </c>
      <c r="F8" s="9" t="s">
        <v>402</v>
      </c>
      <c r="G8" s="10" t="s">
        <v>403</v>
      </c>
      <c r="H8" s="10" t="s">
        <v>391</v>
      </c>
      <c r="I8" s="10" t="n">
        <v>1</v>
      </c>
      <c r="J8" s="11" t="n">
        <v>10</v>
      </c>
      <c r="K8" s="10" t="s">
        <v>392</v>
      </c>
      <c r="L8" s="12" t="n">
        <v>167.2</v>
      </c>
      <c r="M8" s="13" t="n">
        <f aca="false">IF(L8="","",L8*$C$2)</f>
        <v>182.248</v>
      </c>
      <c r="N8" s="5" t="s">
        <v>393</v>
      </c>
      <c r="O8" s="11" t="n">
        <v>0.25</v>
      </c>
      <c r="P8" s="14" t="n">
        <v>1</v>
      </c>
      <c r="Q8" s="15" t="n">
        <v>0.05</v>
      </c>
      <c r="R8" s="5" t="s">
        <v>404</v>
      </c>
      <c r="S8" s="10" t="s">
        <v>395</v>
      </c>
      <c r="T8" s="10" t="s">
        <v>396</v>
      </c>
      <c r="U8" s="13" t="n">
        <f aca="false">IF(OR(O8="",M8="",J8=""),"",IF(OR(D8="Coverage",D8="Thickness"),M8/J8*O8*IF(P8="",1,P8)*(1+IF(Q8="",0,Q8)),IF(O8=0,"",M8/O8*IF(P8="",1,P8)*(1+IF(Q8="",0,Q8)))))</f>
        <v>4.78401</v>
      </c>
      <c r="V8" s="16" t="n">
        <v>51</v>
      </c>
    </row>
    <row r="9" customFormat="false" ht="15" hidden="false" customHeight="false" outlineLevel="0" collapsed="false">
      <c r="A9" s="8" t="n">
        <v>4</v>
      </c>
      <c r="B9" s="8" t="s">
        <v>31</v>
      </c>
      <c r="C9" s="8" t="s">
        <v>43</v>
      </c>
      <c r="D9" s="8" t="s">
        <v>44</v>
      </c>
      <c r="E9" s="5" t="s">
        <v>405</v>
      </c>
      <c r="F9" s="9" t="s">
        <v>406</v>
      </c>
      <c r="G9" s="10" t="s">
        <v>407</v>
      </c>
      <c r="H9" s="10" t="s">
        <v>391</v>
      </c>
      <c r="I9" s="10" t="n">
        <v>1</v>
      </c>
      <c r="J9" s="11" t="n">
        <v>10</v>
      </c>
      <c r="K9" s="10" t="s">
        <v>392</v>
      </c>
      <c r="L9" s="12" t="n">
        <v>399.6</v>
      </c>
      <c r="M9" s="13" t="n">
        <f aca="false">IF(L9="","",L9*$C$2)</f>
        <v>435.564</v>
      </c>
      <c r="N9" s="5" t="s">
        <v>393</v>
      </c>
      <c r="O9" s="11" t="n">
        <v>0.2</v>
      </c>
      <c r="P9" s="14" t="n">
        <v>1</v>
      </c>
      <c r="Q9" s="15" t="n">
        <v>0.05</v>
      </c>
      <c r="R9" s="5" t="s">
        <v>408</v>
      </c>
      <c r="S9" s="10" t="s">
        <v>395</v>
      </c>
      <c r="T9" s="10" t="s">
        <v>409</v>
      </c>
      <c r="U9" s="13" t="n">
        <f aca="false">IF(OR(O9="",M9="",J9=""),"",IF(OR(D9="Coverage",D9="Thickness"),M9/J9*O9*IF(P9="",1,P9)*(1+IF(Q9="",0,Q9)),IF(O9=0,"",M9/O9*IF(P9="",1,P9)*(1+IF(Q9="",0,Q9)))))</f>
        <v>9.146844</v>
      </c>
      <c r="V9" s="16" t="n">
        <v>0</v>
      </c>
    </row>
    <row r="10" customFormat="false" ht="15" hidden="false" customHeight="false" outlineLevel="0" collapsed="false">
      <c r="A10" s="8" t="n">
        <v>5</v>
      </c>
      <c r="B10" s="8" t="s">
        <v>31</v>
      </c>
      <c r="C10" s="8" t="s">
        <v>43</v>
      </c>
      <c r="D10" s="8" t="s">
        <v>44</v>
      </c>
      <c r="E10" s="5" t="s">
        <v>410</v>
      </c>
      <c r="F10" s="9" t="s">
        <v>411</v>
      </c>
      <c r="G10" s="10" t="s">
        <v>412</v>
      </c>
      <c r="H10" s="10" t="s">
        <v>391</v>
      </c>
      <c r="I10" s="10" t="n">
        <v>1</v>
      </c>
      <c r="J10" s="11" t="n">
        <v>20</v>
      </c>
      <c r="K10" s="10" t="s">
        <v>392</v>
      </c>
      <c r="L10" s="12" t="n">
        <v>585</v>
      </c>
      <c r="M10" s="13" t="n">
        <f aca="false">IF(L10="","",L10*$C$2)</f>
        <v>637.65</v>
      </c>
      <c r="N10" s="5" t="s">
        <v>393</v>
      </c>
      <c r="O10" s="11" t="n">
        <v>0.12</v>
      </c>
      <c r="P10" s="14" t="n">
        <v>1</v>
      </c>
      <c r="Q10" s="15" t="n">
        <v>0.05</v>
      </c>
      <c r="R10" s="5"/>
      <c r="S10" s="10" t="s">
        <v>395</v>
      </c>
      <c r="T10" s="10" t="s">
        <v>409</v>
      </c>
      <c r="U10" s="13" t="n">
        <f aca="false">IF(OR(O10="",M10="",J10=""),"",IF(OR(D10="Coverage",D10="Thickness"),M10/J10*O10*IF(P10="",1,P10)*(1+IF(Q10="",0,Q10)),IF(O10=0,"",M10/O10*IF(P10="",1,P10)*(1+IF(Q10="",0,Q10)))))</f>
        <v>4.017195</v>
      </c>
      <c r="V10" s="16" t="n">
        <v>5</v>
      </c>
    </row>
    <row r="11" customFormat="false" ht="15" hidden="false" customHeight="false" outlineLevel="0" collapsed="false">
      <c r="A11" s="8" t="n">
        <v>6</v>
      </c>
      <c r="B11" s="8" t="s">
        <v>31</v>
      </c>
      <c r="C11" s="8" t="s">
        <v>43</v>
      </c>
      <c r="D11" s="8" t="s">
        <v>44</v>
      </c>
      <c r="E11" s="5" t="s">
        <v>413</v>
      </c>
      <c r="F11" s="9" t="s">
        <v>414</v>
      </c>
      <c r="G11" s="10" t="s">
        <v>415</v>
      </c>
      <c r="H11" s="10" t="s">
        <v>416</v>
      </c>
      <c r="I11" s="10" t="n">
        <v>1</v>
      </c>
      <c r="J11" s="11" t="n">
        <v>15</v>
      </c>
      <c r="K11" s="10" t="s">
        <v>417</v>
      </c>
      <c r="L11" s="12" t="n">
        <v>185</v>
      </c>
      <c r="M11" s="13" t="n">
        <f aca="false">IF(L11="","",L11*$C$2)</f>
        <v>201.65</v>
      </c>
      <c r="N11" s="5" t="s">
        <v>418</v>
      </c>
      <c r="O11" s="11" t="n">
        <v>0.2</v>
      </c>
      <c r="P11" s="14" t="n">
        <v>1</v>
      </c>
      <c r="Q11" s="15" t="n">
        <v>0.05</v>
      </c>
      <c r="R11" s="5" t="s">
        <v>419</v>
      </c>
      <c r="S11" s="10" t="s">
        <v>395</v>
      </c>
      <c r="T11" s="10" t="s">
        <v>409</v>
      </c>
      <c r="U11" s="13" t="n">
        <f aca="false">IF(OR(O11="",M11="",J11=""),"",IF(OR(D11="Coverage",D11="Thickness"),M11/J11*O11*IF(P11="",1,P11)*(1+IF(Q11="",0,Q11)),IF(O11=0,"",M11/O11*IF(P11="",1,P11)*(1+IF(Q11="",0,Q11)))))</f>
        <v>2.8231</v>
      </c>
      <c r="V11" s="16" t="n">
        <v>0</v>
      </c>
    </row>
    <row r="12" customFormat="false" ht="15" hidden="false" customHeight="false" outlineLevel="0" collapsed="false">
      <c r="A12" s="8" t="n">
        <v>7</v>
      </c>
      <c r="B12" s="8" t="s">
        <v>31</v>
      </c>
      <c r="C12" s="8" t="s">
        <v>43</v>
      </c>
      <c r="D12" s="8" t="s">
        <v>44</v>
      </c>
      <c r="E12" s="5" t="s">
        <v>420</v>
      </c>
      <c r="F12" s="9" t="s">
        <v>421</v>
      </c>
      <c r="G12" s="10" t="s">
        <v>422</v>
      </c>
      <c r="H12" s="10" t="s">
        <v>416</v>
      </c>
      <c r="I12" s="10" t="n">
        <v>1</v>
      </c>
      <c r="J12" s="11" t="n">
        <v>200</v>
      </c>
      <c r="K12" s="10" t="s">
        <v>417</v>
      </c>
      <c r="L12" s="12" t="n">
        <v>840</v>
      </c>
      <c r="M12" s="13" t="n">
        <f aca="false">IF(L12="","",L12*$C$2)</f>
        <v>915.6</v>
      </c>
      <c r="N12" s="5" t="s">
        <v>418</v>
      </c>
      <c r="O12" s="11" t="n">
        <v>0.25</v>
      </c>
      <c r="P12" s="14" t="n">
        <v>1</v>
      </c>
      <c r="Q12" s="15" t="n">
        <v>0.05</v>
      </c>
      <c r="R12" s="5" t="s">
        <v>419</v>
      </c>
      <c r="S12" s="10" t="s">
        <v>395</v>
      </c>
      <c r="T12" s="10" t="s">
        <v>409</v>
      </c>
      <c r="U12" s="13" t="n">
        <f aca="false">IF(OR(O12="",M12="",J12=""),"",IF(OR(D12="Coverage",D12="Thickness"),M12/J12*O12*IF(P12="",1,P12)*(1+IF(Q12="",0,Q12)),IF(O12=0,"",M12/O12*IF(P12="",1,P12)*(1+IF(Q12="",0,Q12)))))</f>
        <v>1.201725</v>
      </c>
      <c r="V12" s="16" t="n">
        <v>0</v>
      </c>
    </row>
    <row r="13" customFormat="false" ht="15" hidden="false" customHeight="false" outlineLevel="0" collapsed="false">
      <c r="A13" s="8" t="n">
        <v>8</v>
      </c>
      <c r="B13" s="8" t="s">
        <v>31</v>
      </c>
      <c r="C13" s="8" t="s">
        <v>43</v>
      </c>
      <c r="D13" s="8" t="s">
        <v>44</v>
      </c>
      <c r="E13" s="5" t="s">
        <v>423</v>
      </c>
      <c r="F13" s="9" t="s">
        <v>424</v>
      </c>
      <c r="G13" s="10" t="s">
        <v>425</v>
      </c>
      <c r="H13" s="10" t="s">
        <v>426</v>
      </c>
      <c r="I13" s="10" t="n">
        <v>1</v>
      </c>
      <c r="J13" s="11" t="n">
        <v>10</v>
      </c>
      <c r="K13" s="10" t="s">
        <v>392</v>
      </c>
      <c r="L13" s="12" t="n">
        <v>160</v>
      </c>
      <c r="M13" s="13" t="n">
        <f aca="false">IF(L13="","",L13*$C$2)</f>
        <v>174.4</v>
      </c>
      <c r="N13" s="5" t="s">
        <v>393</v>
      </c>
      <c r="O13" s="11" t="n">
        <v>0.2</v>
      </c>
      <c r="P13" s="14" t="n">
        <v>1</v>
      </c>
      <c r="Q13" s="15" t="n">
        <v>0.05</v>
      </c>
      <c r="R13" s="5"/>
      <c r="S13" s="10" t="s">
        <v>395</v>
      </c>
      <c r="T13" s="10" t="s">
        <v>409</v>
      </c>
      <c r="U13" s="13" t="n">
        <f aca="false">IF(OR(O13="",M13="",J13=""),"",IF(OR(D13="Coverage",D13="Thickness"),M13/J13*O13*IF(P13="",1,P13)*(1+IF(Q13="",0,Q13)),IF(O13=0,"",M13/O13*IF(P13="",1,P13)*(1+IF(Q13="",0,Q13)))))</f>
        <v>3.6624</v>
      </c>
      <c r="V13" s="16" t="n">
        <v>142</v>
      </c>
    </row>
    <row r="14" customFormat="false" ht="15" hidden="false" customHeight="false" outlineLevel="0" collapsed="false">
      <c r="A14" s="8" t="n">
        <v>9</v>
      </c>
      <c r="B14" s="8" t="s">
        <v>31</v>
      </c>
      <c r="C14" s="8" t="s">
        <v>427</v>
      </c>
      <c r="D14" s="8" t="s">
        <v>44</v>
      </c>
      <c r="E14" s="5" t="s">
        <v>428</v>
      </c>
      <c r="F14" s="9" t="s">
        <v>429</v>
      </c>
      <c r="G14" s="10" t="s">
        <v>430</v>
      </c>
      <c r="H14" s="10" t="s">
        <v>391</v>
      </c>
      <c r="I14" s="10" t="n">
        <v>1</v>
      </c>
      <c r="J14" s="11" t="n">
        <v>32</v>
      </c>
      <c r="K14" s="10" t="s">
        <v>392</v>
      </c>
      <c r="L14" s="12" t="n">
        <v>201.6</v>
      </c>
      <c r="M14" s="13" t="n">
        <f aca="false">IF(L14="","",L14*$C$2)</f>
        <v>219.744</v>
      </c>
      <c r="N14" s="5" t="s">
        <v>431</v>
      </c>
      <c r="O14" s="11" t="n">
        <v>1.7</v>
      </c>
      <c r="P14" s="14" t="n">
        <v>2</v>
      </c>
      <c r="Q14" s="15" t="n">
        <v>0.05</v>
      </c>
      <c r="R14" s="5" t="s">
        <v>432</v>
      </c>
      <c r="S14" s="10" t="s">
        <v>395</v>
      </c>
      <c r="T14" s="10" t="s">
        <v>396</v>
      </c>
      <c r="U14" s="13" t="n">
        <f aca="false">IF(OR(O14="",M14="",J14=""),"",IF(OR(D14="Coverage",D14="Thickness"),M14/J14*O14*IF(P14="",1,P14)*(1+IF(Q14="",0,Q14)),IF(O14=0,"",M14/O14*IF(P14="",1,P14)*(1+IF(Q14="",0,Q14)))))</f>
        <v>24.51519</v>
      </c>
      <c r="V14" s="16" t="n">
        <v>0</v>
      </c>
    </row>
    <row r="15" customFormat="false" ht="15" hidden="false" customHeight="false" outlineLevel="0" collapsed="false">
      <c r="A15" s="8" t="n">
        <v>10</v>
      </c>
      <c r="B15" s="8" t="s">
        <v>31</v>
      </c>
      <c r="C15" s="8" t="s">
        <v>427</v>
      </c>
      <c r="D15" s="8" t="s">
        <v>44</v>
      </c>
      <c r="E15" s="5" t="s">
        <v>433</v>
      </c>
      <c r="F15" s="9" t="s">
        <v>434</v>
      </c>
      <c r="G15" s="10" t="s">
        <v>435</v>
      </c>
      <c r="H15" s="10" t="s">
        <v>391</v>
      </c>
      <c r="I15" s="10" t="n">
        <v>1</v>
      </c>
      <c r="J15" s="11" t="n">
        <v>30</v>
      </c>
      <c r="K15" s="10" t="s">
        <v>392</v>
      </c>
      <c r="L15" s="12" t="n">
        <v>218.7</v>
      </c>
      <c r="M15" s="13" t="n">
        <f aca="false">IF(L15="","",L15*$C$2)</f>
        <v>238.383</v>
      </c>
      <c r="N15" s="5" t="s">
        <v>431</v>
      </c>
      <c r="O15" s="11" t="n">
        <v>1.6</v>
      </c>
      <c r="P15" s="14" t="n">
        <v>2</v>
      </c>
      <c r="Q15" s="15" t="n">
        <v>0.05</v>
      </c>
      <c r="R15" s="5" t="s">
        <v>436</v>
      </c>
      <c r="S15" s="10" t="s">
        <v>395</v>
      </c>
      <c r="T15" s="10" t="s">
        <v>396</v>
      </c>
      <c r="U15" s="13" t="n">
        <f aca="false">IF(OR(O15="",M15="",J15=""),"",IF(OR(D15="Coverage",D15="Thickness"),M15/J15*O15*IF(P15="",1,P15)*(1+IF(Q15="",0,Q15)),IF(O15=0,"",M15/O15*IF(P15="",1,P15)*(1+IF(Q15="",0,Q15)))))</f>
        <v>26.698896</v>
      </c>
      <c r="V15" s="16" t="n">
        <v>239</v>
      </c>
    </row>
    <row r="16" customFormat="false" ht="15" hidden="false" customHeight="false" outlineLevel="0" collapsed="false">
      <c r="A16" s="8" t="n">
        <v>11</v>
      </c>
      <c r="B16" s="8" t="s">
        <v>31</v>
      </c>
      <c r="C16" s="8" t="s">
        <v>427</v>
      </c>
      <c r="D16" s="8" t="s">
        <v>44</v>
      </c>
      <c r="E16" s="5" t="s">
        <v>437</v>
      </c>
      <c r="F16" s="9" t="s">
        <v>438</v>
      </c>
      <c r="G16" s="10" t="s">
        <v>439</v>
      </c>
      <c r="H16" s="10" t="s">
        <v>391</v>
      </c>
      <c r="I16" s="10" t="n">
        <v>1</v>
      </c>
      <c r="J16" s="11" t="n">
        <v>35</v>
      </c>
      <c r="K16" s="10" t="s">
        <v>392</v>
      </c>
      <c r="L16" s="12" t="n">
        <v>388.8</v>
      </c>
      <c r="M16" s="13" t="n">
        <f aca="false">IF(L16="","",L16*$C$2)</f>
        <v>423.792</v>
      </c>
      <c r="N16" s="5" t="s">
        <v>431</v>
      </c>
      <c r="O16" s="11" t="n">
        <v>1.65</v>
      </c>
      <c r="P16" s="14" t="n">
        <v>2</v>
      </c>
      <c r="Q16" s="15" t="n">
        <v>0.05</v>
      </c>
      <c r="R16" s="5" t="s">
        <v>440</v>
      </c>
      <c r="S16" s="10" t="s">
        <v>395</v>
      </c>
      <c r="T16" s="10" t="s">
        <v>396</v>
      </c>
      <c r="U16" s="13" t="n">
        <f aca="false">IF(OR(O16="",M16="",J16=""),"",IF(OR(D16="Coverage",D16="Thickness"),M16/J16*O16*IF(P16="",1,P16)*(1+IF(Q16="",0,Q16)),IF(O16=0,"",M16/O16*IF(P16="",1,P16)*(1+IF(Q16="",0,Q16)))))</f>
        <v>41.955408</v>
      </c>
      <c r="V16" s="16" t="n">
        <v>0</v>
      </c>
    </row>
    <row r="17" customFormat="false" ht="15" hidden="false" customHeight="false" outlineLevel="0" collapsed="false">
      <c r="A17" s="8" t="n">
        <v>12</v>
      </c>
      <c r="B17" s="8" t="s">
        <v>31</v>
      </c>
      <c r="C17" s="8" t="s">
        <v>427</v>
      </c>
      <c r="D17" s="8" t="s">
        <v>44</v>
      </c>
      <c r="E17" s="5" t="s">
        <v>441</v>
      </c>
      <c r="F17" s="9" t="s">
        <v>442</v>
      </c>
      <c r="G17" s="10" t="s">
        <v>443</v>
      </c>
      <c r="H17" s="10" t="s">
        <v>391</v>
      </c>
      <c r="I17" s="10" t="n">
        <v>1</v>
      </c>
      <c r="J17" s="11" t="n">
        <v>15</v>
      </c>
      <c r="K17" s="10" t="s">
        <v>392</v>
      </c>
      <c r="L17" s="12" t="n">
        <v>280.8</v>
      </c>
      <c r="M17" s="13" t="n">
        <f aca="false">IF(L17="","",L17*$C$2)</f>
        <v>306.072</v>
      </c>
      <c r="N17" s="5" t="s">
        <v>444</v>
      </c>
      <c r="O17" s="11" t="n">
        <v>0.4</v>
      </c>
      <c r="P17" s="14" t="n">
        <v>2</v>
      </c>
      <c r="Q17" s="15" t="n">
        <v>0.05</v>
      </c>
      <c r="R17" s="5" t="s">
        <v>445</v>
      </c>
      <c r="S17" s="10" t="s">
        <v>395</v>
      </c>
      <c r="T17" s="10" t="s">
        <v>396</v>
      </c>
      <c r="U17" s="13" t="n">
        <f aca="false">IF(OR(O17="",M17="",J17=""),"",IF(OR(D17="Coverage",D17="Thickness"),M17/J17*O17*IF(P17="",1,P17)*(1+IF(Q17="",0,Q17)),IF(O17=0,"",M17/O17*IF(P17="",1,P17)*(1+IF(Q17="",0,Q17)))))</f>
        <v>17.140032</v>
      </c>
      <c r="V17" s="16" t="n">
        <v>126</v>
      </c>
    </row>
    <row r="18" customFormat="false" ht="15" hidden="false" customHeight="false" outlineLevel="0" collapsed="false">
      <c r="A18" s="8" t="n">
        <v>13</v>
      </c>
      <c r="B18" s="8" t="s">
        <v>31</v>
      </c>
      <c r="C18" s="8" t="s">
        <v>427</v>
      </c>
      <c r="D18" s="8" t="s">
        <v>44</v>
      </c>
      <c r="E18" s="5" t="s">
        <v>446</v>
      </c>
      <c r="F18" s="9" t="s">
        <v>447</v>
      </c>
      <c r="G18" s="10" t="s">
        <v>448</v>
      </c>
      <c r="H18" s="10" t="s">
        <v>391</v>
      </c>
      <c r="I18" s="10" t="n">
        <v>1</v>
      </c>
      <c r="J18" s="11" t="n">
        <v>24</v>
      </c>
      <c r="K18" s="10" t="s">
        <v>392</v>
      </c>
      <c r="L18" s="12" t="n">
        <v>196.56</v>
      </c>
      <c r="M18" s="13" t="n">
        <f aca="false">IF(L18="","",L18*$C$2)</f>
        <v>214.2504</v>
      </c>
      <c r="N18" s="5" t="s">
        <v>431</v>
      </c>
      <c r="O18" s="11" t="n">
        <v>1.6</v>
      </c>
      <c r="P18" s="14" t="n">
        <v>2</v>
      </c>
      <c r="Q18" s="15" t="n">
        <v>0.05</v>
      </c>
      <c r="R18" s="5" t="s">
        <v>440</v>
      </c>
      <c r="S18" s="10" t="s">
        <v>395</v>
      </c>
      <c r="T18" s="10" t="s">
        <v>396</v>
      </c>
      <c r="U18" s="13" t="n">
        <f aca="false">IF(OR(O18="",M18="",J18=""),"",IF(OR(D18="Coverage",D18="Thickness"),M18/J18*O18*IF(P18="",1,P18)*(1+IF(Q18="",0,Q18)),IF(O18=0,"",M18/O18*IF(P18="",1,P18)*(1+IF(Q18="",0,Q18)))))</f>
        <v>29.995056</v>
      </c>
      <c r="V18" s="16" t="n">
        <v>0</v>
      </c>
    </row>
    <row r="19" customFormat="false" ht="15" hidden="false" customHeight="false" outlineLevel="0" collapsed="false">
      <c r="A19" s="8" t="n">
        <v>14</v>
      </c>
      <c r="B19" s="8" t="s">
        <v>31</v>
      </c>
      <c r="C19" s="8" t="s">
        <v>427</v>
      </c>
      <c r="D19" s="8" t="s">
        <v>44</v>
      </c>
      <c r="E19" s="5" t="s">
        <v>449</v>
      </c>
      <c r="F19" s="9" t="s">
        <v>450</v>
      </c>
      <c r="G19" s="10" t="s">
        <v>451</v>
      </c>
      <c r="H19" s="10" t="s">
        <v>391</v>
      </c>
      <c r="I19" s="10" t="n">
        <v>1</v>
      </c>
      <c r="J19" s="11" t="n">
        <v>24</v>
      </c>
      <c r="K19" s="10" t="s">
        <v>392</v>
      </c>
      <c r="L19" s="12" t="n">
        <v>74.88</v>
      </c>
      <c r="M19" s="13" t="n">
        <f aca="false">IF(L19="","",L19*$C$2)</f>
        <v>81.6192</v>
      </c>
      <c r="N19" s="5" t="s">
        <v>431</v>
      </c>
      <c r="O19" s="11" t="n">
        <v>1.7</v>
      </c>
      <c r="P19" s="14" t="n">
        <v>2</v>
      </c>
      <c r="Q19" s="15" t="n">
        <v>0.05</v>
      </c>
      <c r="R19" s="5" t="s">
        <v>440</v>
      </c>
      <c r="S19" s="10" t="s">
        <v>395</v>
      </c>
      <c r="T19" s="10" t="s">
        <v>396</v>
      </c>
      <c r="U19" s="13" t="n">
        <f aca="false">IF(OR(O19="",M19="",J19=""),"",IF(OR(D19="Coverage",D19="Thickness"),M19/J19*O19*IF(P19="",1,P19)*(1+IF(Q19="",0,Q19)),IF(O19=0,"",M19/O19*IF(P19="",1,P19)*(1+IF(Q19="",0,Q19)))))</f>
        <v>12.140856</v>
      </c>
      <c r="V19" s="16" t="n">
        <v>2</v>
      </c>
    </row>
    <row r="20" customFormat="false" ht="15" hidden="false" customHeight="false" outlineLevel="0" collapsed="false">
      <c r="A20" s="8" t="n">
        <v>15</v>
      </c>
      <c r="B20" s="8" t="s">
        <v>31</v>
      </c>
      <c r="C20" s="8" t="s">
        <v>427</v>
      </c>
      <c r="D20" s="8" t="s">
        <v>44</v>
      </c>
      <c r="E20" s="5" t="s">
        <v>452</v>
      </c>
      <c r="F20" s="9" t="s">
        <v>453</v>
      </c>
      <c r="G20" s="10" t="s">
        <v>454</v>
      </c>
      <c r="H20" s="10" t="s">
        <v>391</v>
      </c>
      <c r="I20" s="10" t="n">
        <v>1</v>
      </c>
      <c r="J20" s="11" t="n">
        <v>20</v>
      </c>
      <c r="K20" s="10" t="s">
        <v>392</v>
      </c>
      <c r="L20" s="12" t="n">
        <v>304.2</v>
      </c>
      <c r="M20" s="13" t="n">
        <f aca="false">IF(L20="","",L20*$C$2)</f>
        <v>331.578</v>
      </c>
      <c r="N20" s="5" t="s">
        <v>444</v>
      </c>
      <c r="O20" s="11" t="n">
        <v>0.75</v>
      </c>
      <c r="P20" s="14" t="n">
        <v>2</v>
      </c>
      <c r="Q20" s="15" t="n">
        <v>0.05</v>
      </c>
      <c r="R20" s="5" t="s">
        <v>455</v>
      </c>
      <c r="S20" s="10" t="s">
        <v>395</v>
      </c>
      <c r="T20" s="10" t="s">
        <v>409</v>
      </c>
      <c r="U20" s="13" t="n">
        <f aca="false">IF(OR(O20="",M20="",J20=""),"",IF(OR(D20="Coverage",D20="Thickness"),M20/J20*O20*IF(P20="",1,P20)*(1+IF(Q20="",0,Q20)),IF(O20=0,"",M20/O20*IF(P20="",1,P20)*(1+IF(Q20="",0,Q20)))))</f>
        <v>26.1117675</v>
      </c>
      <c r="V20" s="16" t="n">
        <v>0</v>
      </c>
    </row>
    <row r="21" customFormat="false" ht="15" hidden="false" customHeight="false" outlineLevel="0" collapsed="false">
      <c r="A21" s="8" t="n">
        <v>16</v>
      </c>
      <c r="B21" s="8" t="s">
        <v>31</v>
      </c>
      <c r="C21" s="8" t="s">
        <v>427</v>
      </c>
      <c r="D21" s="8" t="s">
        <v>44</v>
      </c>
      <c r="E21" s="5" t="s">
        <v>456</v>
      </c>
      <c r="F21" s="9" t="s">
        <v>457</v>
      </c>
      <c r="G21" s="10" t="s">
        <v>458</v>
      </c>
      <c r="H21" s="10" t="s">
        <v>391</v>
      </c>
      <c r="I21" s="10" t="n">
        <v>1</v>
      </c>
      <c r="J21" s="11" t="n">
        <v>25</v>
      </c>
      <c r="K21" s="10" t="s">
        <v>392</v>
      </c>
      <c r="L21" s="12" t="n">
        <v>73.25</v>
      </c>
      <c r="M21" s="13" t="n">
        <f aca="false">IF(L21="","",L21*$C$2)</f>
        <v>79.8425</v>
      </c>
      <c r="N21" s="5" t="s">
        <v>444</v>
      </c>
      <c r="O21" s="11" t="n">
        <v>1.5</v>
      </c>
      <c r="P21" s="14" t="n">
        <v>2</v>
      </c>
      <c r="Q21" s="15" t="n">
        <v>0.05</v>
      </c>
      <c r="R21" s="5" t="s">
        <v>445</v>
      </c>
      <c r="S21" s="10" t="s">
        <v>395</v>
      </c>
      <c r="T21" s="10" t="s">
        <v>409</v>
      </c>
      <c r="U21" s="13" t="n">
        <f aca="false">IF(OR(O21="",M21="",J21=""),"",IF(OR(D21="Coverage",D21="Thickness"),M21/J21*O21*IF(P21="",1,P21)*(1+IF(Q21="",0,Q21)),IF(O21=0,"",M21/O21*IF(P21="",1,P21)*(1+IF(Q21="",0,Q21)))))</f>
        <v>10.060155</v>
      </c>
      <c r="V21" s="16" t="n">
        <v>1336</v>
      </c>
    </row>
    <row r="22" customFormat="false" ht="15" hidden="false" customHeight="false" outlineLevel="0" collapsed="false">
      <c r="A22" s="8" t="n">
        <v>17</v>
      </c>
      <c r="B22" s="8" t="s">
        <v>31</v>
      </c>
      <c r="C22" s="8" t="s">
        <v>427</v>
      </c>
      <c r="D22" s="8" t="s">
        <v>44</v>
      </c>
      <c r="E22" s="5" t="s">
        <v>459</v>
      </c>
      <c r="F22" s="9" t="s">
        <v>460</v>
      </c>
      <c r="G22" s="10" t="s">
        <v>461</v>
      </c>
      <c r="H22" s="10" t="s">
        <v>391</v>
      </c>
      <c r="I22" s="10" t="n">
        <v>1</v>
      </c>
      <c r="J22" s="11" t="n">
        <v>25</v>
      </c>
      <c r="K22" s="10" t="s">
        <v>392</v>
      </c>
      <c r="L22" s="12" t="n">
        <v>117</v>
      </c>
      <c r="M22" s="13" t="n">
        <f aca="false">IF(L22="","",L22*$C$2)</f>
        <v>127.53</v>
      </c>
      <c r="N22" s="5" t="s">
        <v>431</v>
      </c>
      <c r="O22" s="11" t="n">
        <v>1.6</v>
      </c>
      <c r="P22" s="14" t="n">
        <v>2</v>
      </c>
      <c r="Q22" s="15" t="n">
        <v>0.05</v>
      </c>
      <c r="R22" s="5" t="s">
        <v>440</v>
      </c>
      <c r="S22" s="10" t="s">
        <v>395</v>
      </c>
      <c r="T22" s="10" t="s">
        <v>409</v>
      </c>
      <c r="U22" s="13" t="n">
        <f aca="false">IF(OR(O22="",M22="",J22=""),"",IF(OR(D22="Coverage",D22="Thickness"),M22/J22*O22*IF(P22="",1,P22)*(1+IF(Q22="",0,Q22)),IF(O22=0,"",M22/O22*IF(P22="",1,P22)*(1+IF(Q22="",0,Q22)))))</f>
        <v>17.140032</v>
      </c>
      <c r="V22" s="16" t="n">
        <v>1</v>
      </c>
    </row>
    <row r="23" customFormat="false" ht="15" hidden="false" customHeight="false" outlineLevel="0" collapsed="false">
      <c r="A23" s="17" t="n">
        <v>18</v>
      </c>
      <c r="B23" s="17" t="s">
        <v>31</v>
      </c>
      <c r="C23" s="17" t="s">
        <v>427</v>
      </c>
      <c r="D23" s="17" t="s">
        <v>44</v>
      </c>
      <c r="E23" s="18" t="s">
        <v>462</v>
      </c>
      <c r="F23" s="19" t="s">
        <v>463</v>
      </c>
      <c r="G23" s="20"/>
      <c r="H23" s="20"/>
      <c r="I23" s="20"/>
      <c r="J23" s="21"/>
      <c r="K23" s="22"/>
      <c r="L23" s="23"/>
      <c r="M23" s="24" t="str">
        <f aca="false">IF(L23="","",L23*$C$2)</f>
        <v/>
      </c>
      <c r="N23" s="18" t="s">
        <v>444</v>
      </c>
      <c r="O23" s="25" t="n">
        <v>1.4</v>
      </c>
      <c r="P23" s="26" t="n">
        <v>2</v>
      </c>
      <c r="Q23" s="27" t="n">
        <v>0.05</v>
      </c>
      <c r="R23" s="18" t="s">
        <v>464</v>
      </c>
      <c r="S23" s="20" t="s">
        <v>395</v>
      </c>
      <c r="T23" s="20" t="s">
        <v>409</v>
      </c>
      <c r="U23" s="24" t="str">
        <f aca="false">IF(OR(O23="",M23="",J23=""),"",IF(OR(D23="Coverage",D23="Thickness"),M23/J23*O23*IF(P23="",1,P23)*(1+IF(Q23="",0,Q23)),IF(O23=0,"",M23/O23*IF(P23="",1,P23)*(1+IF(Q23="",0,Q23)))))</f>
        <v/>
      </c>
      <c r="V23" s="28"/>
    </row>
    <row r="24" customFormat="false" ht="23.85" hidden="false" customHeight="false" outlineLevel="0" collapsed="false">
      <c r="A24" s="8" t="n">
        <v>19</v>
      </c>
      <c r="B24" s="8" t="s">
        <v>31</v>
      </c>
      <c r="C24" s="8" t="s">
        <v>427</v>
      </c>
      <c r="D24" s="8" t="s">
        <v>44</v>
      </c>
      <c r="E24" s="5" t="s">
        <v>465</v>
      </c>
      <c r="F24" s="9" t="s">
        <v>466</v>
      </c>
      <c r="G24" s="10" t="s">
        <v>467</v>
      </c>
      <c r="H24" s="10" t="s">
        <v>391</v>
      </c>
      <c r="I24" s="10" t="n">
        <v>1</v>
      </c>
      <c r="J24" s="11" t="n">
        <v>450</v>
      </c>
      <c r="K24" s="10" t="s">
        <v>392</v>
      </c>
      <c r="L24" s="12" t="n">
        <v>11340</v>
      </c>
      <c r="M24" s="13" t="n">
        <f aca="false">IF(L24="","",L24*$C$2)</f>
        <v>12360.6</v>
      </c>
      <c r="N24" s="5" t="s">
        <v>431</v>
      </c>
      <c r="O24" s="11" t="n">
        <v>1.05</v>
      </c>
      <c r="P24" s="14" t="n">
        <v>2</v>
      </c>
      <c r="Q24" s="15" t="n">
        <v>0.08</v>
      </c>
      <c r="R24" s="5" t="s">
        <v>468</v>
      </c>
      <c r="S24" s="10" t="s">
        <v>395</v>
      </c>
      <c r="T24" s="10" t="s">
        <v>396</v>
      </c>
      <c r="U24" s="13" t="n">
        <f aca="false">IF(OR(O24="",M24="",J24=""),"",IF(OR(D24="Coverage",D24="Thickness"),M24/J24*O24*IF(P24="",1,P24)*(1+IF(Q24="",0,Q24)),IF(O24=0,"",M24/O24*IF(P24="",1,P24)*(1+IF(Q24="",0,Q24)))))</f>
        <v>62.297424</v>
      </c>
      <c r="V24" s="16" t="n">
        <v>0</v>
      </c>
    </row>
    <row r="25" customFormat="false" ht="15" hidden="false" customHeight="false" outlineLevel="0" collapsed="false">
      <c r="A25" s="8" t="n">
        <v>20</v>
      </c>
      <c r="B25" s="8" t="s">
        <v>31</v>
      </c>
      <c r="C25" s="8" t="s">
        <v>427</v>
      </c>
      <c r="D25" s="8" t="s">
        <v>44</v>
      </c>
      <c r="E25" s="5" t="s">
        <v>469</v>
      </c>
      <c r="F25" s="9" t="s">
        <v>470</v>
      </c>
      <c r="G25" s="10"/>
      <c r="H25" s="10" t="s">
        <v>391</v>
      </c>
      <c r="I25" s="10" t="n">
        <v>1</v>
      </c>
      <c r="J25" s="11" t="n">
        <v>450</v>
      </c>
      <c r="K25" s="10" t="s">
        <v>392</v>
      </c>
      <c r="L25" s="12" t="n">
        <v>13500</v>
      </c>
      <c r="M25" s="13" t="n">
        <f aca="false">IF(L25="","",L25*$C$2)</f>
        <v>14715</v>
      </c>
      <c r="N25" s="5" t="s">
        <v>431</v>
      </c>
      <c r="O25" s="11" t="n">
        <v>1.05</v>
      </c>
      <c r="P25" s="14" t="n">
        <v>2</v>
      </c>
      <c r="Q25" s="15" t="n">
        <v>0.08</v>
      </c>
      <c r="R25" s="5" t="s">
        <v>471</v>
      </c>
      <c r="S25" s="10" t="s">
        <v>395</v>
      </c>
      <c r="T25" s="10" t="s">
        <v>396</v>
      </c>
      <c r="U25" s="13" t="n">
        <f aca="false">IF(OR(O25="",M25="",J25=""),"",IF(OR(D25="Coverage",D25="Thickness"),M25/J25*O25*IF(P25="",1,P25)*(1+IF(Q25="",0,Q25)),IF(O25=0,"",M25/O25*IF(P25="",1,P25)*(1+IF(Q25="",0,Q25)))))</f>
        <v>74.1636</v>
      </c>
      <c r="V25" s="16" t="n">
        <v>0</v>
      </c>
    </row>
    <row r="26" customFormat="false" ht="15" hidden="false" customHeight="false" outlineLevel="0" collapsed="false">
      <c r="A26" s="8" t="n">
        <v>21</v>
      </c>
      <c r="B26" s="8" t="s">
        <v>31</v>
      </c>
      <c r="C26" s="8" t="s">
        <v>427</v>
      </c>
      <c r="D26" s="8" t="s">
        <v>44</v>
      </c>
      <c r="E26" s="5" t="s">
        <v>472</v>
      </c>
      <c r="F26" s="9" t="s">
        <v>473</v>
      </c>
      <c r="G26" s="10" t="s">
        <v>474</v>
      </c>
      <c r="H26" s="10" t="s">
        <v>391</v>
      </c>
      <c r="I26" s="10" t="n">
        <v>1</v>
      </c>
      <c r="J26" s="11" t="n">
        <v>25</v>
      </c>
      <c r="K26" s="10" t="s">
        <v>392</v>
      </c>
      <c r="L26" s="12" t="n">
        <v>459</v>
      </c>
      <c r="M26" s="13" t="n">
        <f aca="false">IF(L26="","",L26*$C$2)</f>
        <v>500.31</v>
      </c>
      <c r="N26" s="5" t="s">
        <v>431</v>
      </c>
      <c r="O26" s="11" t="n">
        <v>1.4</v>
      </c>
      <c r="P26" s="14" t="n">
        <v>2</v>
      </c>
      <c r="Q26" s="15" t="n">
        <v>0.05</v>
      </c>
      <c r="R26" s="5" t="s">
        <v>475</v>
      </c>
      <c r="S26" s="10" t="s">
        <v>395</v>
      </c>
      <c r="T26" s="10" t="s">
        <v>409</v>
      </c>
      <c r="U26" s="13" t="n">
        <f aca="false">IF(OR(O26="",M26="",J26=""),"",IF(OR(D26="Coverage",D26="Thickness"),M26/J26*O26*IF(P26="",1,P26)*(1+IF(Q26="",0,Q26)),IF(O26=0,"",M26/O26*IF(P26="",1,P26)*(1+IF(Q26="",0,Q26)))))</f>
        <v>58.836456</v>
      </c>
      <c r="V26" s="16" t="n">
        <v>0</v>
      </c>
    </row>
    <row r="27" customFormat="false" ht="15" hidden="false" customHeight="false" outlineLevel="0" collapsed="false">
      <c r="A27" s="8" t="n">
        <v>22</v>
      </c>
      <c r="B27" s="8" t="s">
        <v>31</v>
      </c>
      <c r="C27" s="8" t="s">
        <v>427</v>
      </c>
      <c r="D27" s="8" t="s">
        <v>44</v>
      </c>
      <c r="E27" s="5" t="s">
        <v>476</v>
      </c>
      <c r="F27" s="9" t="s">
        <v>477</v>
      </c>
      <c r="G27" s="10"/>
      <c r="H27" s="10" t="s">
        <v>391</v>
      </c>
      <c r="I27" s="10" t="n">
        <v>1</v>
      </c>
      <c r="J27" s="11" t="n">
        <v>14</v>
      </c>
      <c r="K27" s="10" t="s">
        <v>392</v>
      </c>
      <c r="L27" s="12" t="n">
        <v>441</v>
      </c>
      <c r="M27" s="13" t="n">
        <f aca="false">IF(L27="","",L27*$C$2)</f>
        <v>480.69</v>
      </c>
      <c r="N27" s="5" t="s">
        <v>431</v>
      </c>
      <c r="O27" s="11" t="n">
        <v>1.4</v>
      </c>
      <c r="P27" s="14" t="n">
        <v>1.5</v>
      </c>
      <c r="Q27" s="15" t="n">
        <v>0.05</v>
      </c>
      <c r="R27" s="5" t="s">
        <v>478</v>
      </c>
      <c r="S27" s="10" t="s">
        <v>395</v>
      </c>
      <c r="T27" s="10" t="s">
        <v>409</v>
      </c>
      <c r="U27" s="13" t="n">
        <f aca="false">IF(OR(O27="",M27="",J27=""),"",IF(OR(D27="Coverage",D27="Thickness"),M27/J27*O27*IF(P27="",1,P27)*(1+IF(Q27="",0,Q27)),IF(O27=0,"",M27/O27*IF(P27="",1,P27)*(1+IF(Q27="",0,Q27)))))</f>
        <v>75.708675</v>
      </c>
      <c r="V27" s="16" t="n">
        <v>0</v>
      </c>
    </row>
    <row r="28" customFormat="false" ht="15" hidden="false" customHeight="false" outlineLevel="0" collapsed="false">
      <c r="A28" s="17" t="n">
        <v>23</v>
      </c>
      <c r="B28" s="17" t="s">
        <v>31</v>
      </c>
      <c r="C28" s="17" t="s">
        <v>427</v>
      </c>
      <c r="D28" s="17" t="s">
        <v>44</v>
      </c>
      <c r="E28" s="18" t="s">
        <v>479</v>
      </c>
      <c r="F28" s="19" t="s">
        <v>463</v>
      </c>
      <c r="G28" s="20"/>
      <c r="H28" s="20"/>
      <c r="I28" s="20"/>
      <c r="J28" s="21"/>
      <c r="K28" s="22"/>
      <c r="L28" s="23"/>
      <c r="M28" s="24" t="str">
        <f aca="false">IF(L28="","",L28*$C$2)</f>
        <v/>
      </c>
      <c r="N28" s="18" t="s">
        <v>444</v>
      </c>
      <c r="O28" s="25" t="n">
        <v>0.3</v>
      </c>
      <c r="P28" s="26" t="n">
        <v>2</v>
      </c>
      <c r="Q28" s="27" t="n">
        <v>0.05</v>
      </c>
      <c r="R28" s="18" t="s">
        <v>464</v>
      </c>
      <c r="S28" s="20" t="s">
        <v>395</v>
      </c>
      <c r="T28" s="20" t="s">
        <v>409</v>
      </c>
      <c r="U28" s="24" t="str">
        <f aca="false">IF(OR(O28="",M28="",J28=""),"",IF(OR(D28="Coverage",D28="Thickness"),M28/J28*O28*IF(P28="",1,P28)*(1+IF(Q28="",0,Q28)),IF(O28=0,"",M28/O28*IF(P28="",1,P28)*(1+IF(Q28="",0,Q28)))))</f>
        <v/>
      </c>
      <c r="V28" s="28"/>
    </row>
    <row r="29" customFormat="false" ht="15" hidden="false" customHeight="false" outlineLevel="0" collapsed="false">
      <c r="A29" s="8" t="n">
        <v>24</v>
      </c>
      <c r="B29" s="8" t="s">
        <v>31</v>
      </c>
      <c r="C29" s="8" t="s">
        <v>427</v>
      </c>
      <c r="D29" s="8" t="s">
        <v>44</v>
      </c>
      <c r="E29" s="5" t="s">
        <v>480</v>
      </c>
      <c r="F29" s="9" t="s">
        <v>481</v>
      </c>
      <c r="G29" s="10" t="s">
        <v>482</v>
      </c>
      <c r="H29" s="10" t="s">
        <v>483</v>
      </c>
      <c r="I29" s="10" t="n">
        <v>1</v>
      </c>
      <c r="J29" s="11" t="n">
        <v>23</v>
      </c>
      <c r="K29" s="10" t="s">
        <v>392</v>
      </c>
      <c r="L29" s="12" t="n">
        <v>60</v>
      </c>
      <c r="M29" s="13" t="n">
        <f aca="false">IF(L29="","",L29*$C$2)</f>
        <v>65.4</v>
      </c>
      <c r="N29" s="5" t="s">
        <v>444</v>
      </c>
      <c r="O29" s="11" t="n">
        <v>1.5</v>
      </c>
      <c r="P29" s="14" t="n">
        <v>2</v>
      </c>
      <c r="Q29" s="15" t="n">
        <v>0.05</v>
      </c>
      <c r="R29" s="5" t="s">
        <v>445</v>
      </c>
      <c r="S29" s="10" t="s">
        <v>395</v>
      </c>
      <c r="T29" s="10" t="s">
        <v>409</v>
      </c>
      <c r="U29" s="13" t="n">
        <f aca="false">IF(OR(O29="",M29="",J29=""),"",IF(OR(D29="Coverage",D29="Thickness"),M29/J29*O29*IF(P29="",1,P29)*(1+IF(Q29="",0,Q29)),IF(O29=0,"",M29/O29*IF(P29="",1,P29)*(1+IF(Q29="",0,Q29)))))</f>
        <v>8.95695652173913</v>
      </c>
      <c r="V29" s="16" t="n">
        <v>0</v>
      </c>
    </row>
    <row r="30" customFormat="false" ht="15" hidden="false" customHeight="false" outlineLevel="0" collapsed="false">
      <c r="A30" s="8" t="n">
        <v>25</v>
      </c>
      <c r="B30" s="8" t="s">
        <v>31</v>
      </c>
      <c r="C30" s="8" t="s">
        <v>427</v>
      </c>
      <c r="D30" s="8" t="s">
        <v>44</v>
      </c>
      <c r="E30" s="5" t="s">
        <v>484</v>
      </c>
      <c r="F30" s="9" t="s">
        <v>485</v>
      </c>
      <c r="G30" s="10" t="s">
        <v>486</v>
      </c>
      <c r="H30" s="10" t="s">
        <v>416</v>
      </c>
      <c r="I30" s="10" t="n">
        <v>1</v>
      </c>
      <c r="J30" s="11" t="n">
        <v>18</v>
      </c>
      <c r="K30" s="10" t="s">
        <v>392</v>
      </c>
      <c r="L30" s="12" t="n">
        <v>53.98</v>
      </c>
      <c r="M30" s="13" t="n">
        <f aca="false">IF(L30="","",L30*$C$2)</f>
        <v>58.8382</v>
      </c>
      <c r="N30" s="5" t="s">
        <v>444</v>
      </c>
      <c r="O30" s="11" t="n">
        <v>1.2</v>
      </c>
      <c r="P30" s="14" t="n">
        <v>2</v>
      </c>
      <c r="Q30" s="15" t="n">
        <v>0.05</v>
      </c>
      <c r="R30" s="5" t="s">
        <v>445</v>
      </c>
      <c r="S30" s="10" t="s">
        <v>395</v>
      </c>
      <c r="T30" s="10" t="s">
        <v>409</v>
      </c>
      <c r="U30" s="13" t="n">
        <f aca="false">IF(OR(O30="",M30="",J30=""),"",IF(OR(D30="Coverage",D30="Thickness"),M30/J30*O30*IF(P30="",1,P30)*(1+IF(Q30="",0,Q30)),IF(O30=0,"",M30/O30*IF(P30="",1,P30)*(1+IF(Q30="",0,Q30)))))</f>
        <v>8.237348</v>
      </c>
      <c r="V30" s="16" t="n">
        <v>63</v>
      </c>
    </row>
    <row r="31" customFormat="false" ht="15" hidden="false" customHeight="false" outlineLevel="0" collapsed="false">
      <c r="A31" s="8" t="n">
        <v>26</v>
      </c>
      <c r="B31" s="8" t="s">
        <v>31</v>
      </c>
      <c r="C31" s="8" t="s">
        <v>427</v>
      </c>
      <c r="D31" s="8" t="s">
        <v>44</v>
      </c>
      <c r="E31" s="5" t="s">
        <v>487</v>
      </c>
      <c r="F31" s="9" t="s">
        <v>488</v>
      </c>
      <c r="G31" s="10" t="s">
        <v>489</v>
      </c>
      <c r="H31" s="10" t="s">
        <v>416</v>
      </c>
      <c r="I31" s="10" t="n">
        <v>1</v>
      </c>
      <c r="J31" s="11" t="n">
        <v>24.8</v>
      </c>
      <c r="K31" s="10" t="s">
        <v>392</v>
      </c>
      <c r="L31" s="12" t="n">
        <v>190.55</v>
      </c>
      <c r="M31" s="13" t="n">
        <f aca="false">IF(L31="","",L31*$C$2)</f>
        <v>207.6995</v>
      </c>
      <c r="N31" s="5" t="s">
        <v>444</v>
      </c>
      <c r="O31" s="11" t="n">
        <v>1.2</v>
      </c>
      <c r="P31" s="14" t="n">
        <v>2</v>
      </c>
      <c r="Q31" s="15" t="n">
        <v>0.05</v>
      </c>
      <c r="R31" s="5" t="s">
        <v>445</v>
      </c>
      <c r="S31" s="10" t="s">
        <v>395</v>
      </c>
      <c r="T31" s="10" t="s">
        <v>409</v>
      </c>
      <c r="U31" s="13" t="n">
        <f aca="false">IF(OR(O31="",M31="",J31=""),"",IF(OR(D31="Coverage",D31="Thickness"),M31/J31*O31*IF(P31="",1,P31)*(1+IF(Q31="",0,Q31)),IF(O31=0,"",M31/O31*IF(P31="",1,P31)*(1+IF(Q31="",0,Q31)))))</f>
        <v>21.1049491935484</v>
      </c>
      <c r="V31" s="16" t="n">
        <v>0</v>
      </c>
    </row>
    <row r="32" customFormat="false" ht="15" hidden="false" customHeight="false" outlineLevel="0" collapsed="false">
      <c r="A32" s="8" t="n">
        <v>27</v>
      </c>
      <c r="B32" s="8" t="s">
        <v>31</v>
      </c>
      <c r="C32" s="8" t="s">
        <v>427</v>
      </c>
      <c r="D32" s="8" t="s">
        <v>44</v>
      </c>
      <c r="E32" s="5" t="s">
        <v>490</v>
      </c>
      <c r="F32" s="9" t="s">
        <v>491</v>
      </c>
      <c r="G32" s="10" t="s">
        <v>492</v>
      </c>
      <c r="H32" s="10" t="s">
        <v>416</v>
      </c>
      <c r="I32" s="10" t="n">
        <v>1</v>
      </c>
      <c r="J32" s="11" t="n">
        <v>22.5</v>
      </c>
      <c r="K32" s="10" t="s">
        <v>392</v>
      </c>
      <c r="L32" s="12" t="n">
        <v>109.18</v>
      </c>
      <c r="M32" s="13" t="n">
        <f aca="false">IF(L32="","",L32*$C$2)</f>
        <v>119.0062</v>
      </c>
      <c r="N32" s="5" t="s">
        <v>444</v>
      </c>
      <c r="O32" s="11" t="n">
        <v>1.2</v>
      </c>
      <c r="P32" s="14" t="n">
        <v>2</v>
      </c>
      <c r="Q32" s="15" t="n">
        <v>0.05</v>
      </c>
      <c r="R32" s="5" t="s">
        <v>445</v>
      </c>
      <c r="S32" s="10" t="s">
        <v>395</v>
      </c>
      <c r="T32" s="10" t="s">
        <v>409</v>
      </c>
      <c r="U32" s="13" t="n">
        <f aca="false">IF(OR(O32="",M32="",J32=""),"",IF(OR(D32="Coverage",D32="Thickness"),M32/J32*O32*IF(P32="",1,P32)*(1+IF(Q32="",0,Q32)),IF(O32=0,"",M32/O32*IF(P32="",1,P32)*(1+IF(Q32="",0,Q32)))))</f>
        <v>13.3286944</v>
      </c>
      <c r="V32" s="16" t="n">
        <v>0</v>
      </c>
    </row>
    <row r="33" customFormat="false" ht="15" hidden="false" customHeight="false" outlineLevel="0" collapsed="false">
      <c r="A33" s="8" t="n">
        <v>28</v>
      </c>
      <c r="B33" s="8" t="s">
        <v>31</v>
      </c>
      <c r="C33" s="8" t="s">
        <v>427</v>
      </c>
      <c r="D33" s="8" t="s">
        <v>44</v>
      </c>
      <c r="E33" s="5" t="s">
        <v>493</v>
      </c>
      <c r="F33" s="9" t="s">
        <v>494</v>
      </c>
      <c r="G33" s="10" t="s">
        <v>495</v>
      </c>
      <c r="H33" s="10" t="s">
        <v>416</v>
      </c>
      <c r="I33" s="10" t="n">
        <v>1</v>
      </c>
      <c r="J33" s="11" t="n">
        <v>32.5</v>
      </c>
      <c r="K33" s="10" t="s">
        <v>392</v>
      </c>
      <c r="L33" s="12" t="n">
        <v>84.42</v>
      </c>
      <c r="M33" s="13" t="n">
        <f aca="false">IF(L33="","",L33*$C$2)</f>
        <v>92.0178</v>
      </c>
      <c r="N33" s="5" t="s">
        <v>444</v>
      </c>
      <c r="O33" s="11" t="n">
        <v>1.5</v>
      </c>
      <c r="P33" s="14" t="n">
        <v>2</v>
      </c>
      <c r="Q33" s="15" t="n">
        <v>0.05</v>
      </c>
      <c r="R33" s="5" t="s">
        <v>496</v>
      </c>
      <c r="S33" s="10" t="s">
        <v>395</v>
      </c>
      <c r="T33" s="10" t="s">
        <v>409</v>
      </c>
      <c r="U33" s="13" t="n">
        <f aca="false">IF(OR(O33="",M33="",J33=""),"",IF(OR(D33="Coverage",D33="Thickness"),M33/J33*O33*IF(P33="",1,P33)*(1+IF(Q33="",0,Q33)),IF(O33=0,"",M33/O33*IF(P33="",1,P33)*(1+IF(Q33="",0,Q33)))))</f>
        <v>8.91864830769231</v>
      </c>
      <c r="V33" s="16" t="n">
        <v>0</v>
      </c>
    </row>
    <row r="34" customFormat="false" ht="15" hidden="false" customHeight="false" outlineLevel="0" collapsed="false">
      <c r="A34" s="8" t="n">
        <v>29</v>
      </c>
      <c r="B34" s="8" t="s">
        <v>31</v>
      </c>
      <c r="C34" s="8" t="s">
        <v>427</v>
      </c>
      <c r="D34" s="8" t="s">
        <v>44</v>
      </c>
      <c r="E34" s="5" t="s">
        <v>497</v>
      </c>
      <c r="F34" s="9" t="s">
        <v>498</v>
      </c>
      <c r="G34" s="10" t="s">
        <v>499</v>
      </c>
      <c r="H34" s="10" t="s">
        <v>416</v>
      </c>
      <c r="I34" s="10" t="n">
        <v>1</v>
      </c>
      <c r="J34" s="11" t="n">
        <v>25</v>
      </c>
      <c r="K34" s="10" t="s">
        <v>392</v>
      </c>
      <c r="L34" s="12" t="n">
        <v>370</v>
      </c>
      <c r="M34" s="13" t="n">
        <f aca="false">IF(L34="","",L34*$C$2)</f>
        <v>403.3</v>
      </c>
      <c r="N34" s="5" t="s">
        <v>431</v>
      </c>
      <c r="O34" s="11" t="n">
        <v>1.4</v>
      </c>
      <c r="P34" s="14" t="n">
        <v>1.5</v>
      </c>
      <c r="Q34" s="15" t="n">
        <v>0.05</v>
      </c>
      <c r="R34" s="5" t="s">
        <v>478</v>
      </c>
      <c r="S34" s="10" t="s">
        <v>395</v>
      </c>
      <c r="T34" s="10" t="s">
        <v>409</v>
      </c>
      <c r="U34" s="13" t="n">
        <f aca="false">IF(OR(O34="",M34="",J34=""),"",IF(OR(D34="Coverage",D34="Thickness"),M34/J34*O34*IF(P34="",1,P34)*(1+IF(Q34="",0,Q34)),IF(O34=0,"",M34/O34*IF(P34="",1,P34)*(1+IF(Q34="",0,Q34)))))</f>
        <v>35.57106</v>
      </c>
      <c r="V34" s="16" t="n">
        <v>0</v>
      </c>
    </row>
    <row r="35" customFormat="false" ht="15" hidden="false" customHeight="false" outlineLevel="0" collapsed="false">
      <c r="A35" s="8" t="n">
        <v>30</v>
      </c>
      <c r="B35" s="8" t="s">
        <v>31</v>
      </c>
      <c r="C35" s="8" t="s">
        <v>427</v>
      </c>
      <c r="D35" s="8" t="s">
        <v>44</v>
      </c>
      <c r="E35" s="5" t="s">
        <v>500</v>
      </c>
      <c r="F35" s="9" t="s">
        <v>501</v>
      </c>
      <c r="G35" s="10" t="s">
        <v>502</v>
      </c>
      <c r="H35" s="10" t="s">
        <v>416</v>
      </c>
      <c r="I35" s="10" t="n">
        <v>1</v>
      </c>
      <c r="J35" s="11" t="n">
        <v>5</v>
      </c>
      <c r="K35" s="10" t="s">
        <v>392</v>
      </c>
      <c r="L35" s="12" t="n">
        <v>28.03</v>
      </c>
      <c r="M35" s="13" t="n">
        <f aca="false">IF(L35="","",L35*$C$2)</f>
        <v>30.5527</v>
      </c>
      <c r="N35" s="5" t="s">
        <v>444</v>
      </c>
      <c r="O35" s="29" t="n">
        <v>0.5</v>
      </c>
      <c r="P35" s="30" t="n">
        <v>2</v>
      </c>
      <c r="Q35" s="31" t="n">
        <v>0.05</v>
      </c>
      <c r="R35" s="5" t="s">
        <v>445</v>
      </c>
      <c r="S35" s="10" t="s">
        <v>395</v>
      </c>
      <c r="T35" s="32" t="s">
        <v>417</v>
      </c>
      <c r="U35" s="13" t="n">
        <f aca="false">IF(OR(O35="",M35="",J35=""),"",IF(OR(D35="Coverage",D35="Thickness"),M35/J35*O35*IF(P35="",1,P35)*(1+IF(Q35="",0,Q35)),IF(O35=0,"",M35/O35*IF(P35="",1,P35)*(1+IF(Q35="",0,Q35)))))</f>
        <v>6.416067</v>
      </c>
      <c r="V35" s="16" t="n">
        <v>20</v>
      </c>
    </row>
    <row r="36" customFormat="false" ht="15" hidden="false" customHeight="false" outlineLevel="0" collapsed="false">
      <c r="A36" s="8" t="n">
        <v>31</v>
      </c>
      <c r="B36" s="8" t="s">
        <v>31</v>
      </c>
      <c r="C36" s="8" t="s">
        <v>427</v>
      </c>
      <c r="D36" s="8" t="s">
        <v>44</v>
      </c>
      <c r="E36" s="5" t="s">
        <v>503</v>
      </c>
      <c r="F36" s="9" t="s">
        <v>504</v>
      </c>
      <c r="G36" s="10" t="s">
        <v>505</v>
      </c>
      <c r="H36" s="10" t="s">
        <v>426</v>
      </c>
      <c r="I36" s="10" t="n">
        <v>1</v>
      </c>
      <c r="J36" s="11" t="n">
        <v>20</v>
      </c>
      <c r="K36" s="10" t="s">
        <v>392</v>
      </c>
      <c r="L36" s="12" t="n">
        <v>170</v>
      </c>
      <c r="M36" s="13" t="n">
        <f aca="false">IF(L36="","",L36*$C$2)</f>
        <v>185.3</v>
      </c>
      <c r="N36" s="5" t="s">
        <v>431</v>
      </c>
      <c r="O36" s="11" t="n">
        <v>1.5</v>
      </c>
      <c r="P36" s="14" t="n">
        <v>2</v>
      </c>
      <c r="Q36" s="15" t="n">
        <v>0.05</v>
      </c>
      <c r="R36" s="5" t="s">
        <v>440</v>
      </c>
      <c r="S36" s="10" t="s">
        <v>395</v>
      </c>
      <c r="T36" s="10" t="s">
        <v>409</v>
      </c>
      <c r="U36" s="13" t="n">
        <f aca="false">IF(OR(O36="",M36="",J36=""),"",IF(OR(D36="Coverage",D36="Thickness"),M36/J36*O36*IF(P36="",1,P36)*(1+IF(Q36="",0,Q36)),IF(O36=0,"",M36/O36*IF(P36="",1,P36)*(1+IF(Q36="",0,Q36)))))</f>
        <v>29.18475</v>
      </c>
      <c r="V36" s="16" t="n">
        <v>0</v>
      </c>
    </row>
    <row r="37" customFormat="false" ht="15" hidden="false" customHeight="false" outlineLevel="0" collapsed="false">
      <c r="A37" s="8" t="n">
        <v>32</v>
      </c>
      <c r="B37" s="8" t="s">
        <v>31</v>
      </c>
      <c r="C37" s="8" t="s">
        <v>427</v>
      </c>
      <c r="D37" s="8" t="s">
        <v>44</v>
      </c>
      <c r="E37" s="5" t="s">
        <v>506</v>
      </c>
      <c r="F37" s="9" t="s">
        <v>507</v>
      </c>
      <c r="G37" s="10" t="s">
        <v>508</v>
      </c>
      <c r="H37" s="10" t="s">
        <v>426</v>
      </c>
      <c r="I37" s="10" t="n">
        <v>1</v>
      </c>
      <c r="J37" s="11" t="n">
        <v>17.5</v>
      </c>
      <c r="K37" s="10" t="s">
        <v>392</v>
      </c>
      <c r="L37" s="12" t="n">
        <v>56</v>
      </c>
      <c r="M37" s="13" t="n">
        <f aca="false">IF(L37="","",L37*$C$2)</f>
        <v>61.04</v>
      </c>
      <c r="N37" s="5" t="s">
        <v>431</v>
      </c>
      <c r="O37" s="11" t="n">
        <v>1.5</v>
      </c>
      <c r="P37" s="14" t="n">
        <v>2</v>
      </c>
      <c r="Q37" s="15" t="n">
        <v>0.05</v>
      </c>
      <c r="R37" s="5" t="s">
        <v>440</v>
      </c>
      <c r="S37" s="10" t="s">
        <v>395</v>
      </c>
      <c r="T37" s="10" t="s">
        <v>409</v>
      </c>
      <c r="U37" s="13" t="n">
        <f aca="false">IF(OR(O37="",M37="",J37=""),"",IF(OR(D37="Coverage",D37="Thickness"),M37/J37*O37*IF(P37="",1,P37)*(1+IF(Q37="",0,Q37)),IF(O37=0,"",M37/O37*IF(P37="",1,P37)*(1+IF(Q37="",0,Q37)))))</f>
        <v>10.9872</v>
      </c>
      <c r="V37" s="16" t="n">
        <v>139</v>
      </c>
    </row>
    <row r="38" customFormat="false" ht="15" hidden="false" customHeight="false" outlineLevel="0" collapsed="false">
      <c r="A38" s="8" t="n">
        <v>33</v>
      </c>
      <c r="B38" s="8" t="s">
        <v>31</v>
      </c>
      <c r="C38" s="8" t="s">
        <v>427</v>
      </c>
      <c r="D38" s="8" t="s">
        <v>44</v>
      </c>
      <c r="E38" s="5" t="s">
        <v>509</v>
      </c>
      <c r="F38" s="9" t="s">
        <v>510</v>
      </c>
      <c r="G38" s="10"/>
      <c r="H38" s="10" t="s">
        <v>511</v>
      </c>
      <c r="I38" s="10" t="n">
        <v>1</v>
      </c>
      <c r="J38" s="11" t="n">
        <v>18.9</v>
      </c>
      <c r="K38" s="10" t="s">
        <v>417</v>
      </c>
      <c r="L38" s="12" t="n">
        <v>508.75</v>
      </c>
      <c r="M38" s="13" t="n">
        <f aca="false">IF(L38="","",L38*$C$2)</f>
        <v>554.5375</v>
      </c>
      <c r="N38" s="5" t="s">
        <v>512</v>
      </c>
      <c r="O38" s="11" t="n">
        <v>0.5</v>
      </c>
      <c r="P38" s="14" t="n">
        <v>2</v>
      </c>
      <c r="Q38" s="15" t="n">
        <v>0.05</v>
      </c>
      <c r="R38" s="5" t="s">
        <v>513</v>
      </c>
      <c r="S38" s="10" t="s">
        <v>395</v>
      </c>
      <c r="T38" s="10" t="s">
        <v>409</v>
      </c>
      <c r="U38" s="13" t="n">
        <f aca="false">IF(OR(O38="",M38="",J38=""),"",IF(OR(D38="Coverage",D38="Thickness"),M38/J38*O38*IF(P38="",1,P38)*(1+IF(Q38="",0,Q38)),IF(O38=0,"",M38/O38*IF(P38="",1,P38)*(1+IF(Q38="",0,Q38)))))</f>
        <v>30.8076388888889</v>
      </c>
      <c r="V38" s="16" t="n">
        <v>0</v>
      </c>
    </row>
    <row r="39" customFormat="false" ht="15" hidden="false" customHeight="false" outlineLevel="0" collapsed="false">
      <c r="A39" s="8" t="n">
        <v>34</v>
      </c>
      <c r="B39" s="8" t="s">
        <v>31</v>
      </c>
      <c r="C39" s="8" t="s">
        <v>427</v>
      </c>
      <c r="D39" s="8" t="s">
        <v>44</v>
      </c>
      <c r="E39" s="5" t="s">
        <v>514</v>
      </c>
      <c r="F39" s="9" t="s">
        <v>515</v>
      </c>
      <c r="G39" s="10"/>
      <c r="H39" s="10" t="s">
        <v>516</v>
      </c>
      <c r="I39" s="10" t="n">
        <v>1</v>
      </c>
      <c r="J39" s="11" t="n">
        <v>28</v>
      </c>
      <c r="K39" s="10" t="s">
        <v>392</v>
      </c>
      <c r="L39" s="12" t="n">
        <v>100</v>
      </c>
      <c r="M39" s="13" t="n">
        <f aca="false">IF(L39="","",L39*$C$2)</f>
        <v>109</v>
      </c>
      <c r="N39" s="5" t="s">
        <v>431</v>
      </c>
      <c r="O39" s="11" t="n">
        <v>1.6</v>
      </c>
      <c r="P39" s="14" t="n">
        <v>2</v>
      </c>
      <c r="Q39" s="15" t="n">
        <v>0.05</v>
      </c>
      <c r="R39" s="5" t="s">
        <v>440</v>
      </c>
      <c r="S39" s="10" t="s">
        <v>395</v>
      </c>
      <c r="T39" s="10" t="s">
        <v>409</v>
      </c>
      <c r="U39" s="13" t="n">
        <f aca="false">IF(OR(O39="",M39="",J39=""),"",IF(OR(D39="Coverage",D39="Thickness"),M39/J39*O39*IF(P39="",1,P39)*(1+IF(Q39="",0,Q39)),IF(O39=0,"",M39/O39*IF(P39="",1,P39)*(1+IF(Q39="",0,Q39)))))</f>
        <v>13.08</v>
      </c>
      <c r="V39" s="16" t="n">
        <v>0</v>
      </c>
    </row>
    <row r="40" customFormat="false" ht="15" hidden="false" customHeight="false" outlineLevel="0" collapsed="false">
      <c r="A40" s="8" t="n">
        <v>35</v>
      </c>
      <c r="B40" s="8" t="s">
        <v>31</v>
      </c>
      <c r="C40" s="8" t="s">
        <v>427</v>
      </c>
      <c r="D40" s="8" t="s">
        <v>44</v>
      </c>
      <c r="E40" s="5" t="s">
        <v>517</v>
      </c>
      <c r="F40" s="9" t="s">
        <v>518</v>
      </c>
      <c r="G40" s="10"/>
      <c r="H40" s="10" t="s">
        <v>516</v>
      </c>
      <c r="I40" s="10" t="n">
        <v>1</v>
      </c>
      <c r="J40" s="11" t="n">
        <v>20</v>
      </c>
      <c r="K40" s="10" t="s">
        <v>392</v>
      </c>
      <c r="L40" s="12" t="n">
        <v>200</v>
      </c>
      <c r="M40" s="13" t="n">
        <f aca="false">IF(L40="","",L40*$C$2)</f>
        <v>218</v>
      </c>
      <c r="N40" s="5" t="s">
        <v>444</v>
      </c>
      <c r="O40" s="29" t="n">
        <v>1</v>
      </c>
      <c r="P40" s="30" t="n">
        <v>2</v>
      </c>
      <c r="Q40" s="31" t="n">
        <v>0.05</v>
      </c>
      <c r="R40" s="5" t="s">
        <v>445</v>
      </c>
      <c r="S40" s="10" t="s">
        <v>395</v>
      </c>
      <c r="T40" s="32" t="s">
        <v>417</v>
      </c>
      <c r="U40" s="13" t="n">
        <f aca="false">IF(OR(O40="",M40="",J40=""),"",IF(OR(D40="Coverage",D40="Thickness"),M40/J40*O40*IF(P40="",1,P40)*(1+IF(Q40="",0,Q40)),IF(O40=0,"",M40/O40*IF(P40="",1,P40)*(1+IF(Q40="",0,Q40)))))</f>
        <v>22.89</v>
      </c>
      <c r="V40" s="16" t="n">
        <v>0</v>
      </c>
    </row>
    <row r="41" customFormat="false" ht="23.85" hidden="false" customHeight="false" outlineLevel="0" collapsed="false">
      <c r="A41" s="8" t="n">
        <v>36</v>
      </c>
      <c r="B41" s="8" t="s">
        <v>31</v>
      </c>
      <c r="C41" s="8" t="s">
        <v>519</v>
      </c>
      <c r="D41" s="8" t="s">
        <v>55</v>
      </c>
      <c r="E41" s="5" t="s">
        <v>520</v>
      </c>
      <c r="F41" s="9" t="s">
        <v>521</v>
      </c>
      <c r="G41" s="10" t="s">
        <v>522</v>
      </c>
      <c r="H41" s="10" t="s">
        <v>391</v>
      </c>
      <c r="I41" s="10" t="n">
        <v>1</v>
      </c>
      <c r="J41" s="11" t="n">
        <v>50</v>
      </c>
      <c r="K41" s="10" t="s">
        <v>39</v>
      </c>
      <c r="L41" s="12" t="n">
        <v>351</v>
      </c>
      <c r="M41" s="13" t="n">
        <f aca="false">IF(L41="","",L41*$C$2)</f>
        <v>382.59</v>
      </c>
      <c r="N41" s="5" t="s">
        <v>523</v>
      </c>
      <c r="O41" s="11" t="n">
        <v>45</v>
      </c>
      <c r="P41" s="14" t="n">
        <v>1</v>
      </c>
      <c r="Q41" s="15" t="n">
        <v>0</v>
      </c>
      <c r="R41" s="5" t="s">
        <v>524</v>
      </c>
      <c r="S41" s="10" t="s">
        <v>395</v>
      </c>
      <c r="T41" s="10" t="s">
        <v>396</v>
      </c>
      <c r="U41" s="13" t="n">
        <f aca="false">IF(OR(O41="",M41="",J41=""),"",IF(OR(D41="Coverage",D41="Thickness"),M41/J41*O41*IF(P41="",1,P41)*(1+IF(Q41="",0,Q41)),IF(O41=0,"",M41/O41*IF(P41="",1,P41)*(1+IF(Q41="",0,Q41)))))</f>
        <v>8.502</v>
      </c>
      <c r="V41" s="16" t="n">
        <v>44</v>
      </c>
    </row>
    <row r="42" customFormat="false" ht="15" hidden="false" customHeight="false" outlineLevel="0" collapsed="false">
      <c r="A42" s="8" t="n">
        <v>37</v>
      </c>
      <c r="B42" s="8" t="s">
        <v>31</v>
      </c>
      <c r="C42" s="8" t="s">
        <v>519</v>
      </c>
      <c r="D42" s="8" t="s">
        <v>55</v>
      </c>
      <c r="E42" s="5" t="s">
        <v>525</v>
      </c>
      <c r="F42" s="9" t="s">
        <v>526</v>
      </c>
      <c r="G42" s="10" t="s">
        <v>527</v>
      </c>
      <c r="H42" s="10" t="s">
        <v>391</v>
      </c>
      <c r="I42" s="10" t="n">
        <v>1</v>
      </c>
      <c r="J42" s="11" t="n">
        <v>25</v>
      </c>
      <c r="K42" s="10" t="s">
        <v>39</v>
      </c>
      <c r="L42" s="12" t="n">
        <v>265.75</v>
      </c>
      <c r="M42" s="13" t="n">
        <f aca="false">IF(L42="","",L42*$C$2)</f>
        <v>289.6675</v>
      </c>
      <c r="N42" s="5" t="s">
        <v>528</v>
      </c>
      <c r="O42" s="11" t="n">
        <v>22.5</v>
      </c>
      <c r="P42" s="14" t="n">
        <v>1</v>
      </c>
      <c r="Q42" s="15" t="n">
        <v>0</v>
      </c>
      <c r="R42" s="5" t="s">
        <v>529</v>
      </c>
      <c r="S42" s="10" t="s">
        <v>395</v>
      </c>
      <c r="T42" s="10" t="s">
        <v>409</v>
      </c>
      <c r="U42" s="13" t="n">
        <f aca="false">IF(OR(O42="",M42="",J42=""),"",IF(OR(D42="Coverage",D42="Thickness"),M42/J42*O42*IF(P42="",1,P42)*(1+IF(Q42="",0,Q42)),IF(O42=0,"",M42/O42*IF(P42="",1,P42)*(1+IF(Q42="",0,Q42)))))</f>
        <v>12.8741111111111</v>
      </c>
      <c r="V42" s="16" t="n">
        <v>0</v>
      </c>
    </row>
    <row r="43" customFormat="false" ht="15" hidden="false" customHeight="false" outlineLevel="0" collapsed="false">
      <c r="A43" s="8" t="n">
        <v>38</v>
      </c>
      <c r="B43" s="8" t="s">
        <v>31</v>
      </c>
      <c r="C43" s="8" t="s">
        <v>519</v>
      </c>
      <c r="D43" s="8" t="s">
        <v>55</v>
      </c>
      <c r="E43" s="5" t="s">
        <v>530</v>
      </c>
      <c r="F43" s="9" t="s">
        <v>531</v>
      </c>
      <c r="G43" s="10" t="s">
        <v>532</v>
      </c>
      <c r="H43" s="10" t="s">
        <v>416</v>
      </c>
      <c r="I43" s="10" t="n">
        <v>1</v>
      </c>
      <c r="J43" s="11" t="n">
        <v>50</v>
      </c>
      <c r="K43" s="10" t="s">
        <v>114</v>
      </c>
      <c r="L43" s="12" t="n">
        <v>400</v>
      </c>
      <c r="M43" s="13" t="n">
        <f aca="false">IF(L43="","",L43*$C$2)</f>
        <v>436</v>
      </c>
      <c r="N43" s="5" t="s">
        <v>528</v>
      </c>
      <c r="O43" s="29" t="n">
        <v>45</v>
      </c>
      <c r="P43" s="30" t="n">
        <v>1</v>
      </c>
      <c r="Q43" s="31" t="n">
        <v>0</v>
      </c>
      <c r="R43" s="5" t="s">
        <v>533</v>
      </c>
      <c r="S43" s="10" t="s">
        <v>395</v>
      </c>
      <c r="T43" s="32" t="s">
        <v>417</v>
      </c>
      <c r="U43" s="13" t="n">
        <f aca="false">IF(OR(O43="",M43="",J43=""),"",IF(OR(D43="Coverage",D43="Thickness"),M43/J43*O43*IF(P43="",1,P43)*(1+IF(Q43="",0,Q43)),IF(O43=0,"",M43/O43*IF(P43="",1,P43)*(1+IF(Q43="",0,Q43)))))</f>
        <v>9.68888888888889</v>
      </c>
      <c r="V43" s="16" t="n">
        <v>0</v>
      </c>
    </row>
    <row r="44" customFormat="false" ht="15" hidden="false" customHeight="false" outlineLevel="0" collapsed="false">
      <c r="A44" s="8" t="n">
        <v>39</v>
      </c>
      <c r="B44" s="8" t="s">
        <v>31</v>
      </c>
      <c r="C44" s="8" t="s">
        <v>534</v>
      </c>
      <c r="D44" s="8" t="s">
        <v>113</v>
      </c>
      <c r="E44" s="5" t="s">
        <v>535</v>
      </c>
      <c r="F44" s="9" t="s">
        <v>536</v>
      </c>
      <c r="G44" s="10" t="s">
        <v>537</v>
      </c>
      <c r="H44" s="10" t="s">
        <v>391</v>
      </c>
      <c r="I44" s="10" t="n">
        <v>1</v>
      </c>
      <c r="J44" s="11" t="n">
        <v>30</v>
      </c>
      <c r="K44" s="10" t="s">
        <v>114</v>
      </c>
      <c r="L44" s="12" t="n">
        <v>259.2</v>
      </c>
      <c r="M44" s="13" t="n">
        <f aca="false">IF(L44="","",L44*$C$2)</f>
        <v>282.528</v>
      </c>
      <c r="N44" s="5" t="s">
        <v>538</v>
      </c>
      <c r="O44" s="11" t="n">
        <v>30</v>
      </c>
      <c r="P44" s="14" t="n">
        <v>1</v>
      </c>
      <c r="Q44" s="15" t="n">
        <v>0.05</v>
      </c>
      <c r="R44" s="5"/>
      <c r="S44" s="10" t="s">
        <v>395</v>
      </c>
      <c r="T44" s="10" t="s">
        <v>396</v>
      </c>
      <c r="U44" s="13" t="n">
        <f aca="false">IF(OR(O44="",M44="",J44=""),"",IF(OR(D44="Coverage",D44="Thickness"),M44/J44*O44*IF(P44="",1,P44)*(1+IF(Q44="",0,Q44)),IF(O44=0,"",M44/O44*IF(P44="",1,P44)*(1+IF(Q44="",0,Q44)))))</f>
        <v>9.88848</v>
      </c>
      <c r="V44" s="16" t="n">
        <v>21</v>
      </c>
    </row>
    <row r="45" customFormat="false" ht="15" hidden="false" customHeight="false" outlineLevel="0" collapsed="false">
      <c r="A45" s="8" t="n">
        <v>40</v>
      </c>
      <c r="B45" s="8" t="s">
        <v>31</v>
      </c>
      <c r="C45" s="8" t="s">
        <v>534</v>
      </c>
      <c r="D45" s="8" t="s">
        <v>113</v>
      </c>
      <c r="E45" s="5" t="s">
        <v>539</v>
      </c>
      <c r="F45" s="9" t="s">
        <v>540</v>
      </c>
      <c r="G45" s="10" t="s">
        <v>541</v>
      </c>
      <c r="H45" s="10" t="s">
        <v>391</v>
      </c>
      <c r="I45" s="10" t="n">
        <v>1</v>
      </c>
      <c r="J45" s="11" t="n">
        <v>50</v>
      </c>
      <c r="K45" s="10" t="s">
        <v>114</v>
      </c>
      <c r="L45" s="12" t="n">
        <v>432</v>
      </c>
      <c r="M45" s="13" t="n">
        <f aca="false">IF(L45="","",L45*$C$2)</f>
        <v>470.88</v>
      </c>
      <c r="N45" s="5" t="s">
        <v>538</v>
      </c>
      <c r="O45" s="11" t="n">
        <v>50</v>
      </c>
      <c r="P45" s="14" t="n">
        <v>1</v>
      </c>
      <c r="Q45" s="15" t="n">
        <v>0.05</v>
      </c>
      <c r="R45" s="5"/>
      <c r="S45" s="10" t="s">
        <v>395</v>
      </c>
      <c r="T45" s="10" t="s">
        <v>396</v>
      </c>
      <c r="U45" s="13" t="n">
        <f aca="false">IF(OR(O45="",M45="",J45=""),"",IF(OR(D45="Coverage",D45="Thickness"),M45/J45*O45*IF(P45="",1,P45)*(1+IF(Q45="",0,Q45)),IF(O45=0,"",M45/O45*IF(P45="",1,P45)*(1+IF(Q45="",0,Q45)))))</f>
        <v>9.88848</v>
      </c>
      <c r="V45" s="16" t="n">
        <v>1</v>
      </c>
    </row>
    <row r="46" customFormat="false" ht="15" hidden="false" customHeight="false" outlineLevel="0" collapsed="false">
      <c r="A46" s="8" t="n">
        <v>41</v>
      </c>
      <c r="B46" s="8" t="s">
        <v>31</v>
      </c>
      <c r="C46" s="8" t="s">
        <v>534</v>
      </c>
      <c r="D46" s="8" t="s">
        <v>113</v>
      </c>
      <c r="E46" s="5" t="s">
        <v>542</v>
      </c>
      <c r="F46" s="9" t="s">
        <v>543</v>
      </c>
      <c r="G46" s="10" t="s">
        <v>544</v>
      </c>
      <c r="H46" s="10" t="s">
        <v>391</v>
      </c>
      <c r="I46" s="10" t="n">
        <v>1</v>
      </c>
      <c r="J46" s="11" t="n">
        <v>50</v>
      </c>
      <c r="K46" s="10" t="s">
        <v>114</v>
      </c>
      <c r="L46" s="12" t="n">
        <v>394</v>
      </c>
      <c r="M46" s="13" t="n">
        <f aca="false">IF(L46="","",L46*$C$2)</f>
        <v>429.46</v>
      </c>
      <c r="N46" s="5" t="s">
        <v>538</v>
      </c>
      <c r="O46" s="11" t="n">
        <v>50</v>
      </c>
      <c r="P46" s="14" t="n">
        <v>1</v>
      </c>
      <c r="Q46" s="15" t="n">
        <v>0.05</v>
      </c>
      <c r="R46" s="5"/>
      <c r="S46" s="10" t="s">
        <v>395</v>
      </c>
      <c r="T46" s="10" t="s">
        <v>396</v>
      </c>
      <c r="U46" s="13" t="n">
        <f aca="false">IF(OR(O46="",M46="",J46=""),"",IF(OR(D46="Coverage",D46="Thickness"),M46/J46*O46*IF(P46="",1,P46)*(1+IF(Q46="",0,Q46)),IF(O46=0,"",M46/O46*IF(P46="",1,P46)*(1+IF(Q46="",0,Q46)))))</f>
        <v>9.01866</v>
      </c>
      <c r="V46" s="16" t="n">
        <v>0</v>
      </c>
    </row>
    <row r="47" customFormat="false" ht="15" hidden="false" customHeight="false" outlineLevel="0" collapsed="false">
      <c r="A47" s="8" t="n">
        <v>42</v>
      </c>
      <c r="B47" s="8" t="s">
        <v>31</v>
      </c>
      <c r="C47" s="8" t="s">
        <v>534</v>
      </c>
      <c r="D47" s="8" t="s">
        <v>113</v>
      </c>
      <c r="E47" s="5" t="s">
        <v>545</v>
      </c>
      <c r="F47" s="9" t="s">
        <v>546</v>
      </c>
      <c r="G47" s="10" t="s">
        <v>547</v>
      </c>
      <c r="H47" s="10" t="s">
        <v>391</v>
      </c>
      <c r="I47" s="10" t="n">
        <v>1</v>
      </c>
      <c r="J47" s="11" t="n">
        <v>30</v>
      </c>
      <c r="K47" s="10" t="s">
        <v>114</v>
      </c>
      <c r="L47" s="12" t="n">
        <v>1039.5</v>
      </c>
      <c r="M47" s="13" t="n">
        <f aca="false">IF(L47="","",L47*$C$2)</f>
        <v>1133.055</v>
      </c>
      <c r="N47" s="5" t="s">
        <v>538</v>
      </c>
      <c r="O47" s="11" t="n">
        <v>30</v>
      </c>
      <c r="P47" s="14" t="n">
        <v>1</v>
      </c>
      <c r="Q47" s="15" t="n">
        <v>0.05</v>
      </c>
      <c r="R47" s="5"/>
      <c r="S47" s="10" t="s">
        <v>395</v>
      </c>
      <c r="T47" s="10" t="s">
        <v>396</v>
      </c>
      <c r="U47" s="13" t="n">
        <f aca="false">IF(OR(O47="",M47="",J47=""),"",IF(OR(D47="Coverage",D47="Thickness"),M47/J47*O47*IF(P47="",1,P47)*(1+IF(Q47="",0,Q47)),IF(O47=0,"",M47/O47*IF(P47="",1,P47)*(1+IF(Q47="",0,Q47)))))</f>
        <v>39.656925</v>
      </c>
      <c r="V47" s="16" t="n">
        <v>1</v>
      </c>
    </row>
    <row r="48" customFormat="false" ht="15" hidden="false" customHeight="false" outlineLevel="0" collapsed="false">
      <c r="A48" s="8" t="n">
        <v>43</v>
      </c>
      <c r="B48" s="8" t="s">
        <v>31</v>
      </c>
      <c r="C48" s="8" t="s">
        <v>534</v>
      </c>
      <c r="D48" s="8" t="s">
        <v>161</v>
      </c>
      <c r="E48" s="5" t="s">
        <v>548</v>
      </c>
      <c r="F48" s="9" t="s">
        <v>549</v>
      </c>
      <c r="G48" s="10"/>
      <c r="H48" s="10" t="s">
        <v>391</v>
      </c>
      <c r="I48" s="10" t="n">
        <v>1</v>
      </c>
      <c r="J48" s="11" t="n">
        <v>14400</v>
      </c>
      <c r="K48" s="10" t="s">
        <v>39</v>
      </c>
      <c r="L48" s="12" t="n">
        <v>30</v>
      </c>
      <c r="M48" s="13" t="n">
        <f aca="false">IF(L48="","",L48*$C$2)</f>
        <v>32.7</v>
      </c>
      <c r="N48" s="5" t="s">
        <v>550</v>
      </c>
      <c r="O48" s="11" t="n">
        <v>1</v>
      </c>
      <c r="P48" s="14" t="n">
        <v>1</v>
      </c>
      <c r="Q48" s="15" t="n">
        <v>0</v>
      </c>
      <c r="R48" s="5" t="s">
        <v>551</v>
      </c>
      <c r="S48" s="10" t="s">
        <v>395</v>
      </c>
      <c r="T48" s="10" t="s">
        <v>396</v>
      </c>
      <c r="U48" s="13" t="n">
        <f aca="false">IF(OR(O48="",M48="",J48=""),"",IF(OR(D48="Coverage",D48="Thickness"),M48/J48*O48*IF(P48="",1,P48)*(1+IF(Q48="",0,Q48)),IF(O48=0,"",M48/O48*IF(P48="",1,P48)*(1+IF(Q48="",0,Q48)))))</f>
        <v>32.7</v>
      </c>
      <c r="V48" s="16" t="n">
        <v>0</v>
      </c>
    </row>
    <row r="49" customFormat="false" ht="15" hidden="false" customHeight="false" outlineLevel="0" collapsed="false">
      <c r="A49" s="8" t="n">
        <v>44</v>
      </c>
      <c r="B49" s="8" t="s">
        <v>31</v>
      </c>
      <c r="C49" s="8" t="s">
        <v>534</v>
      </c>
      <c r="D49" s="8" t="s">
        <v>161</v>
      </c>
      <c r="E49" s="5" t="s">
        <v>552</v>
      </c>
      <c r="F49" s="9" t="s">
        <v>553</v>
      </c>
      <c r="G49" s="10" t="s">
        <v>554</v>
      </c>
      <c r="H49" s="10" t="s">
        <v>391</v>
      </c>
      <c r="I49" s="10" t="n">
        <v>1</v>
      </c>
      <c r="J49" s="11" t="n">
        <v>1</v>
      </c>
      <c r="K49" s="10" t="s">
        <v>555</v>
      </c>
      <c r="L49" s="12" t="n">
        <v>45</v>
      </c>
      <c r="M49" s="13" t="n">
        <f aca="false">IF(L49="","",L49*$C$2)</f>
        <v>49.05</v>
      </c>
      <c r="N49" s="5" t="s">
        <v>556</v>
      </c>
      <c r="O49" s="11" t="n">
        <v>1</v>
      </c>
      <c r="P49" s="14" t="n">
        <v>1</v>
      </c>
      <c r="Q49" s="15" t="n">
        <v>0</v>
      </c>
      <c r="R49" s="5" t="s">
        <v>557</v>
      </c>
      <c r="S49" s="10" t="s">
        <v>395</v>
      </c>
      <c r="T49" s="10" t="s">
        <v>396</v>
      </c>
      <c r="U49" s="13" t="n">
        <f aca="false">IF(OR(O49="",M49="",J49=""),"",IF(OR(D49="Coverage",D49="Thickness"),M49/J49*O49*IF(P49="",1,P49)*(1+IF(Q49="",0,Q49)),IF(O49=0,"",M49/O49*IF(P49="",1,P49)*(1+IF(Q49="",0,Q49)))))</f>
        <v>49.05</v>
      </c>
      <c r="V49" s="16" t="n">
        <v>0</v>
      </c>
    </row>
    <row r="50" customFormat="false" ht="15" hidden="false" customHeight="false" outlineLevel="0" collapsed="false">
      <c r="A50" s="8" t="n">
        <v>45</v>
      </c>
      <c r="B50" s="8" t="s">
        <v>31</v>
      </c>
      <c r="C50" s="8" t="s">
        <v>534</v>
      </c>
      <c r="D50" s="8" t="s">
        <v>113</v>
      </c>
      <c r="E50" s="5" t="s">
        <v>558</v>
      </c>
      <c r="F50" s="9" t="s">
        <v>559</v>
      </c>
      <c r="G50" s="10" t="s">
        <v>560</v>
      </c>
      <c r="H50" s="10" t="s">
        <v>391</v>
      </c>
      <c r="I50" s="10" t="n">
        <v>1</v>
      </c>
      <c r="J50" s="11" t="n">
        <v>10</v>
      </c>
      <c r="K50" s="10" t="s">
        <v>114</v>
      </c>
      <c r="L50" s="12" t="n">
        <v>257.4</v>
      </c>
      <c r="M50" s="13" t="n">
        <f aca="false">IF(L50="","",L50*$C$2)</f>
        <v>280.566</v>
      </c>
      <c r="N50" s="5" t="s">
        <v>538</v>
      </c>
      <c r="O50" s="11" t="n">
        <v>10</v>
      </c>
      <c r="P50" s="14" t="n">
        <v>1</v>
      </c>
      <c r="Q50" s="15" t="n">
        <v>0.05</v>
      </c>
      <c r="R50" s="5"/>
      <c r="S50" s="10" t="s">
        <v>395</v>
      </c>
      <c r="T50" s="10" t="s">
        <v>396</v>
      </c>
      <c r="U50" s="13" t="n">
        <f aca="false">IF(OR(O50="",M50="",J50=""),"",IF(OR(D50="Coverage",D50="Thickness"),M50/J50*O50*IF(P50="",1,P50)*(1+IF(Q50="",0,Q50)),IF(O50=0,"",M50/O50*IF(P50="",1,P50)*(1+IF(Q50="",0,Q50)))))</f>
        <v>29.45943</v>
      </c>
      <c r="V50" s="16" t="n">
        <v>0</v>
      </c>
    </row>
    <row r="51" customFormat="false" ht="15" hidden="false" customHeight="false" outlineLevel="0" collapsed="false">
      <c r="A51" s="8" t="n">
        <v>46</v>
      </c>
      <c r="B51" s="8" t="s">
        <v>31</v>
      </c>
      <c r="C51" s="8" t="s">
        <v>534</v>
      </c>
      <c r="D51" s="8" t="s">
        <v>113</v>
      </c>
      <c r="E51" s="5" t="s">
        <v>561</v>
      </c>
      <c r="F51" s="9" t="s">
        <v>562</v>
      </c>
      <c r="G51" s="10" t="s">
        <v>563</v>
      </c>
      <c r="H51" s="10" t="s">
        <v>391</v>
      </c>
      <c r="I51" s="10" t="n">
        <v>1</v>
      </c>
      <c r="J51" s="11" t="n">
        <v>15</v>
      </c>
      <c r="K51" s="10" t="s">
        <v>114</v>
      </c>
      <c r="L51" s="12" t="n">
        <v>303.75</v>
      </c>
      <c r="M51" s="13" t="n">
        <f aca="false">IF(L51="","",L51*$C$2)</f>
        <v>331.0875</v>
      </c>
      <c r="N51" s="5" t="s">
        <v>538</v>
      </c>
      <c r="O51" s="11" t="n">
        <v>15</v>
      </c>
      <c r="P51" s="14" t="n">
        <v>1</v>
      </c>
      <c r="Q51" s="15" t="n">
        <v>0.05</v>
      </c>
      <c r="R51" s="5"/>
      <c r="S51" s="10" t="s">
        <v>395</v>
      </c>
      <c r="T51" s="10" t="s">
        <v>396</v>
      </c>
      <c r="U51" s="13" t="n">
        <f aca="false">IF(OR(O51="",M51="",J51=""),"",IF(OR(D51="Coverage",D51="Thickness"),M51/J51*O51*IF(P51="",1,P51)*(1+IF(Q51="",0,Q51)),IF(O51=0,"",M51/O51*IF(P51="",1,P51)*(1+IF(Q51="",0,Q51)))))</f>
        <v>23.176125</v>
      </c>
      <c r="V51" s="16" t="n">
        <v>0</v>
      </c>
    </row>
    <row r="52" customFormat="false" ht="15" hidden="false" customHeight="false" outlineLevel="0" collapsed="false">
      <c r="A52" s="8" t="n">
        <v>47</v>
      </c>
      <c r="B52" s="8" t="s">
        <v>31</v>
      </c>
      <c r="C52" s="8" t="s">
        <v>534</v>
      </c>
      <c r="D52" s="8" t="s">
        <v>161</v>
      </c>
      <c r="E52" s="5" t="s">
        <v>564</v>
      </c>
      <c r="F52" s="9" t="s">
        <v>565</v>
      </c>
      <c r="G52" s="10" t="s">
        <v>566</v>
      </c>
      <c r="H52" s="10" t="s">
        <v>391</v>
      </c>
      <c r="I52" s="10" t="n">
        <v>1</v>
      </c>
      <c r="J52" s="11" t="n">
        <v>0.32</v>
      </c>
      <c r="K52" s="10" t="s">
        <v>417</v>
      </c>
      <c r="L52" s="12" t="n">
        <v>79.2</v>
      </c>
      <c r="M52" s="13" t="n">
        <f aca="false">IF(L52="","",L52*$C$2)</f>
        <v>86.328</v>
      </c>
      <c r="N52" s="5" t="s">
        <v>567</v>
      </c>
      <c r="O52" s="11" t="n">
        <v>10</v>
      </c>
      <c r="P52" s="14" t="n">
        <v>1</v>
      </c>
      <c r="Q52" s="15" t="n">
        <v>0.05</v>
      </c>
      <c r="R52" s="5" t="s">
        <v>568</v>
      </c>
      <c r="S52" s="10" t="s">
        <v>395</v>
      </c>
      <c r="T52" s="10" t="s">
        <v>409</v>
      </c>
      <c r="U52" s="13" t="n">
        <f aca="false">IF(OR(O52="",M52="",J52=""),"",IF(OR(D52="Coverage",D52="Thickness"),M52/J52*O52*IF(P52="",1,P52)*(1+IF(Q52="",0,Q52)),IF(O52=0,"",M52/O52*IF(P52="",1,P52)*(1+IF(Q52="",0,Q52)))))</f>
        <v>9.06444</v>
      </c>
      <c r="V52" s="16" t="n">
        <v>18</v>
      </c>
    </row>
    <row r="53" customFormat="false" ht="23.85" hidden="false" customHeight="false" outlineLevel="0" collapsed="false">
      <c r="A53" s="8" t="n">
        <v>48</v>
      </c>
      <c r="B53" s="8" t="s">
        <v>31</v>
      </c>
      <c r="C53" s="8" t="s">
        <v>569</v>
      </c>
      <c r="D53" s="8" t="s">
        <v>44</v>
      </c>
      <c r="E53" s="5" t="s">
        <v>570</v>
      </c>
      <c r="F53" s="9" t="s">
        <v>571</v>
      </c>
      <c r="G53" s="10"/>
      <c r="H53" s="10" t="s">
        <v>572</v>
      </c>
      <c r="I53" s="10" t="n">
        <v>1</v>
      </c>
      <c r="J53" s="21"/>
      <c r="K53" s="22"/>
      <c r="L53" s="12" t="n">
        <v>621</v>
      </c>
      <c r="M53" s="13" t="n">
        <f aca="false">IF(L53="","",L53*$C$2)</f>
        <v>676.89</v>
      </c>
      <c r="N53" s="5" t="s">
        <v>444</v>
      </c>
      <c r="O53" s="11" t="n">
        <v>0.15</v>
      </c>
      <c r="P53" s="14" t="n">
        <v>2</v>
      </c>
      <c r="Q53" s="15" t="n">
        <v>0.05</v>
      </c>
      <c r="R53" s="5" t="s">
        <v>445</v>
      </c>
      <c r="S53" s="10" t="s">
        <v>395</v>
      </c>
      <c r="T53" s="10" t="s">
        <v>409</v>
      </c>
      <c r="U53" s="13" t="str">
        <f aca="false">IF(OR(O53="",M53="",J53=""),"",IF(OR(D53="Coverage",D53="Thickness"),M53/J53*O53*IF(P53="",1,P53)*(1+IF(Q53="",0,Q53)),IF(O53=0,"",M53/O53*IF(P53="",1,P53)*(1+IF(Q53="",0,Q53)))))</f>
        <v/>
      </c>
      <c r="V53" s="16" t="n">
        <v>0</v>
      </c>
    </row>
    <row r="54" customFormat="false" ht="23.85" hidden="false" customHeight="false" outlineLevel="0" collapsed="false">
      <c r="A54" s="17" t="n">
        <v>49</v>
      </c>
      <c r="B54" s="17" t="s">
        <v>31</v>
      </c>
      <c r="C54" s="17" t="s">
        <v>427</v>
      </c>
      <c r="D54" s="17" t="s">
        <v>44</v>
      </c>
      <c r="E54" s="18" t="s">
        <v>573</v>
      </c>
      <c r="F54" s="19" t="s">
        <v>463</v>
      </c>
      <c r="G54" s="20"/>
      <c r="H54" s="20"/>
      <c r="I54" s="20"/>
      <c r="J54" s="21"/>
      <c r="K54" s="22"/>
      <c r="L54" s="23"/>
      <c r="M54" s="24" t="str">
        <f aca="false">IF(L54="","",L54*$C$2)</f>
        <v/>
      </c>
      <c r="N54" s="18" t="s">
        <v>444</v>
      </c>
      <c r="O54" s="25" t="n">
        <v>0.75</v>
      </c>
      <c r="P54" s="26" t="n">
        <v>2</v>
      </c>
      <c r="Q54" s="27" t="n">
        <v>0.05</v>
      </c>
      <c r="R54" s="18" t="s">
        <v>574</v>
      </c>
      <c r="S54" s="20" t="s">
        <v>395</v>
      </c>
      <c r="T54" s="20" t="s">
        <v>409</v>
      </c>
      <c r="U54" s="24" t="str">
        <f aca="false">IF(OR(O54="",M54="",J54=""),"",IF(OR(D54="Coverage",D54="Thickness"),M54/J54*O54*IF(P54="",1,P54)*(1+IF(Q54="",0,Q54)),IF(O54=0,"",M54/O54*IF(P54="",1,P54)*(1+IF(Q54="",0,Q54)))))</f>
        <v/>
      </c>
      <c r="V54" s="28"/>
    </row>
    <row r="55" customFormat="false" ht="15" hidden="false" customHeight="false" outlineLevel="0" collapsed="false">
      <c r="A55" s="17" t="n">
        <v>50</v>
      </c>
      <c r="B55" s="17" t="s">
        <v>31</v>
      </c>
      <c r="C55" s="17" t="s">
        <v>427</v>
      </c>
      <c r="D55" s="17" t="s">
        <v>44</v>
      </c>
      <c r="E55" s="18" t="s">
        <v>575</v>
      </c>
      <c r="F55" s="19" t="s">
        <v>463</v>
      </c>
      <c r="G55" s="20"/>
      <c r="H55" s="20"/>
      <c r="I55" s="20"/>
      <c r="J55" s="21"/>
      <c r="K55" s="22"/>
      <c r="L55" s="23"/>
      <c r="M55" s="24" t="str">
        <f aca="false">IF(L55="","",L55*$C$2)</f>
        <v/>
      </c>
      <c r="N55" s="18" t="s">
        <v>444</v>
      </c>
      <c r="O55" s="25" t="n">
        <v>0.75</v>
      </c>
      <c r="P55" s="26" t="n">
        <v>2</v>
      </c>
      <c r="Q55" s="27" t="n">
        <v>0.05</v>
      </c>
      <c r="R55" s="18" t="s">
        <v>576</v>
      </c>
      <c r="S55" s="20" t="s">
        <v>395</v>
      </c>
      <c r="T55" s="20" t="s">
        <v>417</v>
      </c>
      <c r="U55" s="24" t="str">
        <f aca="false">IF(OR(O55="",M55="",J55=""),"",IF(OR(D55="Coverage",D55="Thickness"),M55/J55*O55*IF(P55="",1,P55)*(1+IF(Q55="",0,Q55)),IF(O55=0,"",M55/O55*IF(P55="",1,P55)*(1+IF(Q55="",0,Q55)))))</f>
        <v/>
      </c>
      <c r="V55" s="28"/>
    </row>
    <row r="56" customFormat="false" ht="23.85" hidden="false" customHeight="false" outlineLevel="0" collapsed="false">
      <c r="A56" s="8" t="n">
        <v>51</v>
      </c>
      <c r="B56" s="8" t="s">
        <v>79</v>
      </c>
      <c r="C56" s="8" t="s">
        <v>43</v>
      </c>
      <c r="D56" s="8" t="s">
        <v>44</v>
      </c>
      <c r="E56" s="5" t="s">
        <v>577</v>
      </c>
      <c r="F56" s="9" t="s">
        <v>578</v>
      </c>
      <c r="G56" s="10" t="s">
        <v>579</v>
      </c>
      <c r="H56" s="10" t="s">
        <v>580</v>
      </c>
      <c r="I56" s="10" t="n">
        <v>2</v>
      </c>
      <c r="J56" s="11" t="n">
        <v>200</v>
      </c>
      <c r="K56" s="10" t="s">
        <v>417</v>
      </c>
      <c r="L56" s="12" t="n">
        <v>870</v>
      </c>
      <c r="M56" s="13" t="n">
        <f aca="false">IF(L56="","",L56*$C$2)</f>
        <v>948.3</v>
      </c>
      <c r="N56" s="5" t="s">
        <v>418</v>
      </c>
      <c r="O56" s="11" t="n">
        <v>0.3</v>
      </c>
      <c r="P56" s="14" t="n">
        <v>1</v>
      </c>
      <c r="Q56" s="15" t="n">
        <v>0.05</v>
      </c>
      <c r="R56" s="5" t="s">
        <v>581</v>
      </c>
      <c r="S56" s="10" t="s">
        <v>395</v>
      </c>
      <c r="T56" s="10" t="s">
        <v>396</v>
      </c>
      <c r="U56" s="13" t="n">
        <f aca="false">IF(OR(O56="",M56="",J56=""),"",IF(OR(D56="Coverage",D56="Thickness"),M56/J56*O56*IF(P56="",1,P56)*(1+IF(Q56="",0,Q56)),IF(O56=0,"",M56/O56*IF(P56="",1,P56)*(1+IF(Q56="",0,Q56)))))</f>
        <v>1.4935725</v>
      </c>
      <c r="V56" s="16" t="n">
        <v>0</v>
      </c>
    </row>
    <row r="57" customFormat="false" ht="23.85" hidden="false" customHeight="false" outlineLevel="0" collapsed="false">
      <c r="A57" s="8" t="n">
        <v>52</v>
      </c>
      <c r="B57" s="8" t="s">
        <v>79</v>
      </c>
      <c r="C57" s="8" t="s">
        <v>427</v>
      </c>
      <c r="D57" s="8" t="s">
        <v>55</v>
      </c>
      <c r="E57" s="5" t="s">
        <v>582</v>
      </c>
      <c r="F57" s="9" t="s">
        <v>583</v>
      </c>
      <c r="G57" s="10"/>
      <c r="H57" s="10" t="s">
        <v>584</v>
      </c>
      <c r="I57" s="10" t="n">
        <v>1</v>
      </c>
      <c r="J57" s="11" t="n">
        <v>10</v>
      </c>
      <c r="K57" s="10" t="s">
        <v>39</v>
      </c>
      <c r="L57" s="12" t="n">
        <v>75</v>
      </c>
      <c r="M57" s="13" t="n">
        <f aca="false">IF(L57="","",L57*$C$2)</f>
        <v>81.75</v>
      </c>
      <c r="N57" s="5" t="s">
        <v>585</v>
      </c>
      <c r="O57" s="11" t="n">
        <v>8.5</v>
      </c>
      <c r="P57" s="14" t="n">
        <v>1</v>
      </c>
      <c r="Q57" s="15" t="n">
        <v>0.03</v>
      </c>
      <c r="R57" s="5" t="s">
        <v>586</v>
      </c>
      <c r="S57" s="10" t="s">
        <v>395</v>
      </c>
      <c r="T57" s="10" t="s">
        <v>396</v>
      </c>
      <c r="U57" s="13" t="n">
        <f aca="false">IF(OR(O57="",M57="",J57=""),"",IF(OR(D57="Coverage",D57="Thickness"),M57/J57*O57*IF(P57="",1,P57)*(1+IF(Q57="",0,Q57)),IF(O57=0,"",M57/O57*IF(P57="",1,P57)*(1+IF(Q57="",0,Q57)))))</f>
        <v>9.90617647058824</v>
      </c>
      <c r="V57" s="16" t="n">
        <v>0</v>
      </c>
    </row>
    <row r="58" customFormat="false" ht="15" hidden="false" customHeight="false" outlineLevel="0" collapsed="false">
      <c r="A58" s="8" t="n">
        <v>53</v>
      </c>
      <c r="B58" s="8" t="s">
        <v>79</v>
      </c>
      <c r="C58" s="8" t="s">
        <v>427</v>
      </c>
      <c r="D58" s="8" t="s">
        <v>55</v>
      </c>
      <c r="E58" s="5" t="s">
        <v>587</v>
      </c>
      <c r="F58" s="9" t="s">
        <v>588</v>
      </c>
      <c r="G58" s="10" t="s">
        <v>589</v>
      </c>
      <c r="H58" s="10" t="s">
        <v>590</v>
      </c>
      <c r="I58" s="10" t="n">
        <v>1</v>
      </c>
      <c r="J58" s="11" t="n">
        <v>40</v>
      </c>
      <c r="K58" s="10" t="s">
        <v>417</v>
      </c>
      <c r="L58" s="12" t="n">
        <v>138</v>
      </c>
      <c r="M58" s="13" t="n">
        <f aca="false">IF(L58="","",L58*$C$2)</f>
        <v>150.42</v>
      </c>
      <c r="N58" s="5" t="s">
        <v>585</v>
      </c>
      <c r="O58" s="11" t="n">
        <v>8.5</v>
      </c>
      <c r="P58" s="14" t="n">
        <v>1</v>
      </c>
      <c r="Q58" s="15" t="n">
        <v>0.03</v>
      </c>
      <c r="R58" s="5" t="s">
        <v>591</v>
      </c>
      <c r="S58" s="10" t="s">
        <v>395</v>
      </c>
      <c r="T58" s="10" t="s">
        <v>396</v>
      </c>
      <c r="U58" s="13" t="n">
        <f aca="false">IF(OR(O58="",M58="",J58=""),"",IF(OR(D58="Coverage",D58="Thickness"),M58/J58*O58*IF(P58="",1,P58)*(1+IF(Q58="",0,Q58)),IF(O58=0,"",M58/O58*IF(P58="",1,P58)*(1+IF(Q58="",0,Q58)))))</f>
        <v>18.2273647058824</v>
      </c>
      <c r="V58" s="16" t="n">
        <v>0</v>
      </c>
    </row>
    <row r="59" customFormat="false" ht="15" hidden="false" customHeight="false" outlineLevel="0" collapsed="false">
      <c r="A59" s="8" t="n">
        <v>54</v>
      </c>
      <c r="B59" s="8" t="s">
        <v>79</v>
      </c>
      <c r="C59" s="8" t="s">
        <v>427</v>
      </c>
      <c r="D59" s="8" t="s">
        <v>55</v>
      </c>
      <c r="E59" s="5" t="s">
        <v>592</v>
      </c>
      <c r="F59" s="9" t="s">
        <v>593</v>
      </c>
      <c r="G59" s="10" t="s">
        <v>594</v>
      </c>
      <c r="H59" s="10" t="s">
        <v>416</v>
      </c>
      <c r="I59" s="10" t="n">
        <v>1</v>
      </c>
      <c r="J59" s="11" t="n">
        <v>10</v>
      </c>
      <c r="K59" s="10" t="s">
        <v>39</v>
      </c>
      <c r="L59" s="12" t="n">
        <v>140</v>
      </c>
      <c r="M59" s="13" t="n">
        <f aca="false">IF(L59="","",L59*$C$2)</f>
        <v>152.6</v>
      </c>
      <c r="N59" s="5" t="s">
        <v>585</v>
      </c>
      <c r="O59" s="11" t="n">
        <v>8.5</v>
      </c>
      <c r="P59" s="14" t="n">
        <v>1</v>
      </c>
      <c r="Q59" s="15" t="n">
        <v>0.03</v>
      </c>
      <c r="R59" s="5"/>
      <c r="S59" s="10" t="s">
        <v>395</v>
      </c>
      <c r="T59" s="10" t="s">
        <v>396</v>
      </c>
      <c r="U59" s="13" t="n">
        <f aca="false">IF(OR(O59="",M59="",J59=""),"",IF(OR(D59="Coverage",D59="Thickness"),M59/J59*O59*IF(P59="",1,P59)*(1+IF(Q59="",0,Q59)),IF(O59=0,"",M59/O59*IF(P59="",1,P59)*(1+IF(Q59="",0,Q59)))))</f>
        <v>18.4915294117647</v>
      </c>
      <c r="V59" s="16" t="n">
        <v>0</v>
      </c>
    </row>
    <row r="60" customFormat="false" ht="15" hidden="false" customHeight="false" outlineLevel="0" collapsed="false">
      <c r="A60" s="8" t="n">
        <v>55</v>
      </c>
      <c r="B60" s="8" t="s">
        <v>79</v>
      </c>
      <c r="C60" s="8" t="s">
        <v>427</v>
      </c>
      <c r="D60" s="8" t="s">
        <v>55</v>
      </c>
      <c r="E60" s="5" t="s">
        <v>595</v>
      </c>
      <c r="F60" s="9" t="s">
        <v>596</v>
      </c>
      <c r="G60" s="10"/>
      <c r="H60" s="10" t="s">
        <v>580</v>
      </c>
      <c r="I60" s="10" t="n">
        <v>1</v>
      </c>
      <c r="J60" s="11" t="n">
        <v>10</v>
      </c>
      <c r="K60" s="10" t="s">
        <v>39</v>
      </c>
      <c r="L60" s="12" t="n">
        <v>121</v>
      </c>
      <c r="M60" s="13" t="n">
        <f aca="false">IF(L60="","",L60*$C$2)</f>
        <v>131.89</v>
      </c>
      <c r="N60" s="5" t="s">
        <v>585</v>
      </c>
      <c r="O60" s="11" t="n">
        <v>8.5</v>
      </c>
      <c r="P60" s="14" t="n">
        <v>1</v>
      </c>
      <c r="Q60" s="15" t="n">
        <v>0.03</v>
      </c>
      <c r="R60" s="5" t="s">
        <v>591</v>
      </c>
      <c r="S60" s="10" t="s">
        <v>395</v>
      </c>
      <c r="T60" s="10" t="s">
        <v>409</v>
      </c>
      <c r="U60" s="13" t="n">
        <f aca="false">IF(OR(O60="",M60="",J60=""),"",IF(OR(D60="Coverage",D60="Thickness"),M60/J60*O60*IF(P60="",1,P60)*(1+IF(Q60="",0,Q60)),IF(O60=0,"",M60/O60*IF(P60="",1,P60)*(1+IF(Q60="",0,Q60)))))</f>
        <v>15.9819647058824</v>
      </c>
      <c r="V60" s="16" t="n">
        <v>0</v>
      </c>
    </row>
    <row r="61" customFormat="false" ht="15" hidden="false" customHeight="false" outlineLevel="0" collapsed="false">
      <c r="A61" s="8" t="n">
        <v>56</v>
      </c>
      <c r="B61" s="8" t="s">
        <v>79</v>
      </c>
      <c r="C61" s="8" t="s">
        <v>427</v>
      </c>
      <c r="D61" s="8" t="s">
        <v>55</v>
      </c>
      <c r="E61" s="5" t="s">
        <v>597</v>
      </c>
      <c r="F61" s="9" t="s">
        <v>598</v>
      </c>
      <c r="G61" s="10"/>
      <c r="H61" s="10"/>
      <c r="I61" s="10" t="n">
        <v>1</v>
      </c>
      <c r="J61" s="11" t="n">
        <v>10</v>
      </c>
      <c r="K61" s="10" t="s">
        <v>39</v>
      </c>
      <c r="L61" s="12" t="n">
        <v>112</v>
      </c>
      <c r="M61" s="13" t="n">
        <f aca="false">IF(L61="","",L61*$C$2)</f>
        <v>122.08</v>
      </c>
      <c r="N61" s="5" t="s">
        <v>585</v>
      </c>
      <c r="O61" s="11" t="n">
        <v>8.5</v>
      </c>
      <c r="P61" s="14" t="n">
        <v>1</v>
      </c>
      <c r="Q61" s="15" t="n">
        <v>0.03</v>
      </c>
      <c r="R61" s="5" t="s">
        <v>591</v>
      </c>
      <c r="S61" s="10" t="s">
        <v>395</v>
      </c>
      <c r="T61" s="10" t="s">
        <v>409</v>
      </c>
      <c r="U61" s="13" t="n">
        <f aca="false">IF(OR(O61="",M61="",J61=""),"",IF(OR(D61="Coverage",D61="Thickness"),M61/J61*O61*IF(P61="",1,P61)*(1+IF(Q61="",0,Q61)),IF(O61=0,"",M61/O61*IF(P61="",1,P61)*(1+IF(Q61="",0,Q61)))))</f>
        <v>14.7932235294118</v>
      </c>
      <c r="V61" s="16" t="n">
        <v>0</v>
      </c>
    </row>
    <row r="62" customFormat="false" ht="15" hidden="false" customHeight="false" outlineLevel="0" collapsed="false">
      <c r="A62" s="8" t="n">
        <v>57</v>
      </c>
      <c r="B62" s="8" t="s">
        <v>79</v>
      </c>
      <c r="C62" s="8" t="s">
        <v>427</v>
      </c>
      <c r="D62" s="8" t="s">
        <v>44</v>
      </c>
      <c r="E62" s="5" t="s">
        <v>599</v>
      </c>
      <c r="F62" s="9" t="s">
        <v>600</v>
      </c>
      <c r="G62" s="10"/>
      <c r="H62" s="10" t="s">
        <v>601</v>
      </c>
      <c r="I62" s="10" t="n">
        <v>1</v>
      </c>
      <c r="J62" s="11" t="n">
        <v>15</v>
      </c>
      <c r="K62" s="10" t="s">
        <v>392</v>
      </c>
      <c r="L62" s="12" t="n">
        <v>75</v>
      </c>
      <c r="M62" s="13" t="n">
        <f aca="false">IF(L62="","",L62*$C$2)</f>
        <v>81.75</v>
      </c>
      <c r="N62" s="5" t="s">
        <v>444</v>
      </c>
      <c r="O62" s="11" t="n">
        <v>1.5</v>
      </c>
      <c r="P62" s="14" t="n">
        <v>2</v>
      </c>
      <c r="Q62" s="15" t="n">
        <v>0.05</v>
      </c>
      <c r="R62" s="5" t="s">
        <v>445</v>
      </c>
      <c r="S62" s="10" t="s">
        <v>395</v>
      </c>
      <c r="T62" s="10" t="s">
        <v>409</v>
      </c>
      <c r="U62" s="13" t="n">
        <f aca="false">IF(OR(O62="",M62="",J62=""),"",IF(OR(D62="Coverage",D62="Thickness"),M62/J62*O62*IF(P62="",1,P62)*(1+IF(Q62="",0,Q62)),IF(O62=0,"",M62/O62*IF(P62="",1,P62)*(1+IF(Q62="",0,Q62)))))</f>
        <v>17.1675</v>
      </c>
      <c r="V62" s="16" t="n">
        <v>0</v>
      </c>
    </row>
    <row r="63" customFormat="false" ht="23.85" hidden="false" customHeight="false" outlineLevel="0" collapsed="false">
      <c r="A63" s="8" t="n">
        <v>58</v>
      </c>
      <c r="B63" s="8" t="s">
        <v>79</v>
      </c>
      <c r="C63" s="8" t="s">
        <v>602</v>
      </c>
      <c r="D63" s="8" t="s">
        <v>55</v>
      </c>
      <c r="E63" s="5" t="s">
        <v>603</v>
      </c>
      <c r="F63" s="9" t="s">
        <v>604</v>
      </c>
      <c r="G63" s="10"/>
      <c r="H63" s="10"/>
      <c r="I63" s="10" t="n">
        <v>1</v>
      </c>
      <c r="J63" s="11" t="n">
        <v>50</v>
      </c>
      <c r="K63" s="10" t="s">
        <v>39</v>
      </c>
      <c r="L63" s="12" t="n">
        <v>258</v>
      </c>
      <c r="M63" s="13" t="n">
        <f aca="false">IF(L63="","",L63*$C$2)</f>
        <v>281.22</v>
      </c>
      <c r="N63" s="5" t="s">
        <v>605</v>
      </c>
      <c r="O63" s="11" t="n">
        <v>45</v>
      </c>
      <c r="P63" s="14" t="n">
        <v>1</v>
      </c>
      <c r="Q63" s="15" t="n">
        <v>0</v>
      </c>
      <c r="R63" s="5" t="s">
        <v>606</v>
      </c>
      <c r="S63" s="10" t="s">
        <v>395</v>
      </c>
      <c r="T63" s="10" t="s">
        <v>409</v>
      </c>
      <c r="U63" s="13" t="n">
        <f aca="false">IF(OR(O63="",M63="",J63=""),"",IF(OR(D63="Coverage",D63="Thickness"),M63/J63*O63*IF(P63="",1,P63)*(1+IF(Q63="",0,Q63)),IF(O63=0,"",M63/O63*IF(P63="",1,P63)*(1+IF(Q63="",0,Q63)))))</f>
        <v>6.24933333333333</v>
      </c>
      <c r="V63" s="16" t="n">
        <v>0</v>
      </c>
    </row>
    <row r="64" customFormat="false" ht="15" hidden="false" customHeight="false" outlineLevel="0" collapsed="false">
      <c r="A64" s="8" t="n">
        <v>59</v>
      </c>
      <c r="B64" s="8" t="s">
        <v>79</v>
      </c>
      <c r="C64" s="8" t="s">
        <v>602</v>
      </c>
      <c r="D64" s="8" t="s">
        <v>99</v>
      </c>
      <c r="E64" s="5" t="s">
        <v>607</v>
      </c>
      <c r="F64" s="9" t="s">
        <v>608</v>
      </c>
      <c r="G64" s="10"/>
      <c r="H64" s="10"/>
      <c r="I64" s="10" t="n">
        <v>1</v>
      </c>
      <c r="J64" s="11" t="n">
        <v>2</v>
      </c>
      <c r="K64" s="10" t="s">
        <v>39</v>
      </c>
      <c r="L64" s="12" t="n">
        <v>30.5</v>
      </c>
      <c r="M64" s="13" t="n">
        <f aca="false">IF(L64="","",L64*$C$2)</f>
        <v>33.245</v>
      </c>
      <c r="N64" s="5" t="s">
        <v>609</v>
      </c>
      <c r="O64" s="11" t="n">
        <v>1.9</v>
      </c>
      <c r="P64" s="14" t="n">
        <v>1</v>
      </c>
      <c r="Q64" s="15" t="n">
        <v>0</v>
      </c>
      <c r="R64" s="5" t="s">
        <v>610</v>
      </c>
      <c r="S64" s="10" t="s">
        <v>395</v>
      </c>
      <c r="T64" s="10" t="s">
        <v>409</v>
      </c>
      <c r="U64" s="13" t="n">
        <f aca="false">IF(OR(O64="",M64="",J64=""),"",IF(OR(D64="Coverage",D64="Thickness"),M64/J64*O64*IF(P64="",1,P64)*(1+IF(Q64="",0,Q64)),IF(O64=0,"",M64/O64*IF(P64="",1,P64)*(1+IF(Q64="",0,Q64)))))</f>
        <v>17.4973684210526</v>
      </c>
      <c r="V64" s="16" t="n">
        <v>0</v>
      </c>
    </row>
    <row r="65" customFormat="false" ht="15" hidden="false" customHeight="false" outlineLevel="0" collapsed="false">
      <c r="A65" s="8" t="n">
        <v>60</v>
      </c>
      <c r="B65" s="8" t="s">
        <v>79</v>
      </c>
      <c r="C65" s="8" t="s">
        <v>611</v>
      </c>
      <c r="D65" s="8" t="s">
        <v>55</v>
      </c>
      <c r="E65" s="5" t="s">
        <v>612</v>
      </c>
      <c r="F65" s="9" t="s">
        <v>613</v>
      </c>
      <c r="G65" s="10" t="s">
        <v>614</v>
      </c>
      <c r="H65" s="10" t="s">
        <v>391</v>
      </c>
      <c r="I65" s="10" t="n">
        <v>1</v>
      </c>
      <c r="J65" s="11" t="n">
        <v>40</v>
      </c>
      <c r="K65" s="10" t="s">
        <v>39</v>
      </c>
      <c r="L65" s="12" t="n">
        <v>499.6</v>
      </c>
      <c r="M65" s="13" t="n">
        <f aca="false">IF(L65="","",L65*$C$2)</f>
        <v>544.564</v>
      </c>
      <c r="N65" s="5" t="s">
        <v>605</v>
      </c>
      <c r="O65" s="11" t="n">
        <v>36</v>
      </c>
      <c r="P65" s="14" t="n">
        <v>1</v>
      </c>
      <c r="Q65" s="15" t="n">
        <v>0</v>
      </c>
      <c r="R65" s="5" t="s">
        <v>606</v>
      </c>
      <c r="S65" s="10" t="s">
        <v>395</v>
      </c>
      <c r="T65" s="10" t="s">
        <v>409</v>
      </c>
      <c r="U65" s="13" t="n">
        <f aca="false">IF(OR(O65="",M65="",J65=""),"",IF(OR(D65="Coverage",D65="Thickness"),M65/J65*O65*IF(P65="",1,P65)*(1+IF(Q65="",0,Q65)),IF(O65=0,"",M65/O65*IF(P65="",1,P65)*(1+IF(Q65="",0,Q65)))))</f>
        <v>15.1267777777778</v>
      </c>
      <c r="V65" s="16" t="n">
        <v>0</v>
      </c>
    </row>
    <row r="66" customFormat="false" ht="15" hidden="false" customHeight="false" outlineLevel="0" collapsed="false">
      <c r="A66" s="17" t="n">
        <v>61</v>
      </c>
      <c r="B66" s="17" t="s">
        <v>79</v>
      </c>
      <c r="C66" s="17" t="s">
        <v>427</v>
      </c>
      <c r="D66" s="17" t="s">
        <v>55</v>
      </c>
      <c r="E66" s="18" t="s">
        <v>615</v>
      </c>
      <c r="F66" s="19" t="s">
        <v>463</v>
      </c>
      <c r="G66" s="20"/>
      <c r="H66" s="20"/>
      <c r="I66" s="20"/>
      <c r="J66" s="21"/>
      <c r="K66" s="22"/>
      <c r="L66" s="23"/>
      <c r="M66" s="24" t="str">
        <f aca="false">IF(L66="","",L66*$C$2)</f>
        <v/>
      </c>
      <c r="N66" s="18" t="s">
        <v>585</v>
      </c>
      <c r="O66" s="25" t="n">
        <v>8.5</v>
      </c>
      <c r="P66" s="26" t="n">
        <v>1</v>
      </c>
      <c r="Q66" s="27" t="n">
        <v>0.03</v>
      </c>
      <c r="R66" s="18" t="s">
        <v>616</v>
      </c>
      <c r="S66" s="20" t="s">
        <v>395</v>
      </c>
      <c r="T66" s="20" t="s">
        <v>409</v>
      </c>
      <c r="U66" s="24" t="str">
        <f aca="false">IF(OR(O66="",M66="",J66=""),"",IF(OR(D66="Coverage",D66="Thickness"),M66/J66*O66*IF(P66="",1,P66)*(1+IF(Q66="",0,Q66)),IF(O66=0,"",M66/O66*IF(P66="",1,P66)*(1+IF(Q66="",0,Q66)))))</f>
        <v/>
      </c>
      <c r="V66" s="28"/>
    </row>
    <row r="67" customFormat="false" ht="15" hidden="false" customHeight="false" outlineLevel="0" collapsed="false">
      <c r="A67" s="8" t="n">
        <v>62</v>
      </c>
      <c r="B67" s="8" t="s">
        <v>105</v>
      </c>
      <c r="C67" s="8" t="s">
        <v>43</v>
      </c>
      <c r="D67" s="8" t="s">
        <v>44</v>
      </c>
      <c r="E67" s="5" t="s">
        <v>388</v>
      </c>
      <c r="F67" s="9" t="s">
        <v>389</v>
      </c>
      <c r="G67" s="10" t="s">
        <v>390</v>
      </c>
      <c r="H67" s="10" t="s">
        <v>391</v>
      </c>
      <c r="I67" s="10" t="n">
        <v>1</v>
      </c>
      <c r="J67" s="11" t="n">
        <v>20</v>
      </c>
      <c r="K67" s="10" t="s">
        <v>392</v>
      </c>
      <c r="L67" s="12" t="n">
        <v>494</v>
      </c>
      <c r="M67" s="13" t="n">
        <f aca="false">IF(L67="","",L67*$C$2)</f>
        <v>538.46</v>
      </c>
      <c r="N67" s="5" t="s">
        <v>393</v>
      </c>
      <c r="O67" s="11" t="n">
        <v>0.4</v>
      </c>
      <c r="P67" s="14" t="n">
        <v>1</v>
      </c>
      <c r="Q67" s="15" t="n">
        <v>0.05</v>
      </c>
      <c r="R67" s="5" t="s">
        <v>394</v>
      </c>
      <c r="S67" s="10" t="s">
        <v>395</v>
      </c>
      <c r="T67" s="10" t="s">
        <v>396</v>
      </c>
      <c r="U67" s="13" t="n">
        <f aca="false">IF(OR(O67="",M67="",J67=""),"",IF(OR(D67="Coverage",D67="Thickness"),M67/J67*O67*IF(P67="",1,P67)*(1+IF(Q67="",0,Q67)),IF(O67=0,"",M67/O67*IF(P67="",1,P67)*(1+IF(Q67="",0,Q67)))))</f>
        <v>11.30766</v>
      </c>
      <c r="V67" s="16" t="n">
        <v>-1</v>
      </c>
    </row>
    <row r="68" customFormat="false" ht="15" hidden="false" customHeight="false" outlineLevel="0" collapsed="false">
      <c r="A68" s="8" t="n">
        <v>63</v>
      </c>
      <c r="B68" s="8" t="s">
        <v>105</v>
      </c>
      <c r="C68" s="8" t="s">
        <v>43</v>
      </c>
      <c r="D68" s="8" t="s">
        <v>44</v>
      </c>
      <c r="E68" s="5" t="s">
        <v>617</v>
      </c>
      <c r="F68" s="9" t="s">
        <v>618</v>
      </c>
      <c r="G68" s="10" t="s">
        <v>619</v>
      </c>
      <c r="H68" s="10" t="s">
        <v>391</v>
      </c>
      <c r="I68" s="10" t="n">
        <v>1</v>
      </c>
      <c r="J68" s="11" t="n">
        <v>10</v>
      </c>
      <c r="K68" s="10" t="s">
        <v>392</v>
      </c>
      <c r="L68" s="12" t="n">
        <v>374.4</v>
      </c>
      <c r="M68" s="13" t="n">
        <f aca="false">IF(L68="","",L68*$C$2)</f>
        <v>408.096</v>
      </c>
      <c r="N68" s="5" t="s">
        <v>393</v>
      </c>
      <c r="O68" s="11" t="n">
        <v>0.15</v>
      </c>
      <c r="P68" s="14" t="n">
        <v>1</v>
      </c>
      <c r="Q68" s="15" t="n">
        <v>0.05</v>
      </c>
      <c r="R68" s="5"/>
      <c r="S68" s="10" t="s">
        <v>395</v>
      </c>
      <c r="T68" s="10" t="s">
        <v>409</v>
      </c>
      <c r="U68" s="13" t="n">
        <f aca="false">IF(OR(O68="",M68="",J68=""),"",IF(OR(D68="Coverage",D68="Thickness"),M68/J68*O68*IF(P68="",1,P68)*(1+IF(Q68="",0,Q68)),IF(O68=0,"",M68/O68*IF(P68="",1,P68)*(1+IF(Q68="",0,Q68)))))</f>
        <v>6.427512</v>
      </c>
      <c r="V68" s="16" t="n">
        <v>2</v>
      </c>
    </row>
    <row r="69" customFormat="false" ht="15" hidden="false" customHeight="false" outlineLevel="0" collapsed="false">
      <c r="A69" s="17" t="n">
        <v>64</v>
      </c>
      <c r="B69" s="17" t="s">
        <v>105</v>
      </c>
      <c r="C69" s="17" t="s">
        <v>43</v>
      </c>
      <c r="D69" s="17" t="s">
        <v>44</v>
      </c>
      <c r="E69" s="18" t="s">
        <v>620</v>
      </c>
      <c r="F69" s="19" t="s">
        <v>463</v>
      </c>
      <c r="G69" s="20"/>
      <c r="H69" s="20"/>
      <c r="I69" s="20"/>
      <c r="J69" s="21"/>
      <c r="K69" s="22"/>
      <c r="L69" s="23"/>
      <c r="M69" s="24" t="str">
        <f aca="false">IF(L69="","",L69*$C$2)</f>
        <v/>
      </c>
      <c r="N69" s="18" t="s">
        <v>393</v>
      </c>
      <c r="O69" s="25" t="n">
        <v>0.3</v>
      </c>
      <c r="P69" s="26" t="n">
        <v>1</v>
      </c>
      <c r="Q69" s="27" t="n">
        <v>0.05</v>
      </c>
      <c r="R69" s="18" t="s">
        <v>621</v>
      </c>
      <c r="S69" s="20" t="s">
        <v>395</v>
      </c>
      <c r="T69" s="20" t="s">
        <v>409</v>
      </c>
      <c r="U69" s="24" t="str">
        <f aca="false">IF(OR(O69="",M69="",J69=""),"",IF(OR(D69="Coverage",D69="Thickness"),M69/J69*O69*IF(P69="",1,P69)*(1+IF(Q69="",0,Q69)),IF(O69=0,"",M69/O69*IF(P69="",1,P69)*(1+IF(Q69="",0,Q69)))))</f>
        <v/>
      </c>
      <c r="V69" s="28"/>
    </row>
    <row r="70" customFormat="false" ht="23.85" hidden="false" customHeight="false" outlineLevel="0" collapsed="false">
      <c r="A70" s="8" t="n">
        <v>65</v>
      </c>
      <c r="B70" s="8" t="s">
        <v>105</v>
      </c>
      <c r="C70" s="8" t="s">
        <v>622</v>
      </c>
      <c r="D70" s="8" t="s">
        <v>73</v>
      </c>
      <c r="E70" s="5" t="s">
        <v>623</v>
      </c>
      <c r="F70" s="9" t="s">
        <v>624</v>
      </c>
      <c r="G70" s="10" t="s">
        <v>625</v>
      </c>
      <c r="H70" s="10" t="s">
        <v>391</v>
      </c>
      <c r="I70" s="10" t="n">
        <v>1</v>
      </c>
      <c r="J70" s="11" t="n">
        <v>47</v>
      </c>
      <c r="K70" s="10" t="s">
        <v>392</v>
      </c>
      <c r="L70" s="12" t="n">
        <v>669.703</v>
      </c>
      <c r="M70" s="13" t="n">
        <f aca="false">IF(L70="","",L70*$C$2)</f>
        <v>729.97627</v>
      </c>
      <c r="N70" s="5" t="s">
        <v>431</v>
      </c>
      <c r="O70" s="11" t="n">
        <v>1.6</v>
      </c>
      <c r="P70" s="14" t="n">
        <v>2</v>
      </c>
      <c r="Q70" s="15" t="n">
        <v>0.05</v>
      </c>
      <c r="R70" s="5" t="s">
        <v>626</v>
      </c>
      <c r="S70" s="10" t="s">
        <v>395</v>
      </c>
      <c r="T70" s="10" t="s">
        <v>396</v>
      </c>
      <c r="U70" s="13" t="n">
        <f aca="false">IF(OR(O70="",M70="",J70=""),"",IF(OR(D70="Coverage",D70="Thickness"),M70/J70*O70*IF(P70="",1,P70)*(1+IF(Q70="",0,Q70)),IF(O70=0,"",M70/O70*IF(P70="",1,P70)*(1+IF(Q70="",0,Q70)))))</f>
        <v>52.1855376</v>
      </c>
      <c r="V70" s="16" t="n">
        <v>0</v>
      </c>
    </row>
    <row r="71" customFormat="false" ht="15" hidden="false" customHeight="false" outlineLevel="0" collapsed="false">
      <c r="A71" s="8" t="n">
        <v>66</v>
      </c>
      <c r="B71" s="8" t="s">
        <v>105</v>
      </c>
      <c r="C71" s="8" t="s">
        <v>622</v>
      </c>
      <c r="D71" s="8" t="s">
        <v>73</v>
      </c>
      <c r="E71" s="5" t="s">
        <v>627</v>
      </c>
      <c r="F71" s="9" t="s">
        <v>628</v>
      </c>
      <c r="G71" s="10" t="s">
        <v>629</v>
      </c>
      <c r="H71" s="10" t="s">
        <v>391</v>
      </c>
      <c r="I71" s="10" t="n">
        <v>1</v>
      </c>
      <c r="J71" s="11" t="n">
        <v>26.4</v>
      </c>
      <c r="K71" s="10" t="s">
        <v>392</v>
      </c>
      <c r="L71" s="12" t="n">
        <v>123.55</v>
      </c>
      <c r="M71" s="13" t="n">
        <f aca="false">IF(L71="","",L71*$C$2)</f>
        <v>134.6695</v>
      </c>
      <c r="N71" s="5" t="s">
        <v>431</v>
      </c>
      <c r="O71" s="11" t="n">
        <v>2</v>
      </c>
      <c r="P71" s="14" t="n">
        <v>3</v>
      </c>
      <c r="Q71" s="15" t="n">
        <v>0.05</v>
      </c>
      <c r="R71" s="5" t="s">
        <v>630</v>
      </c>
      <c r="S71" s="10" t="s">
        <v>395</v>
      </c>
      <c r="T71" s="10" t="s">
        <v>409</v>
      </c>
      <c r="U71" s="13" t="n">
        <f aca="false">IF(OR(O71="",M71="",J71=""),"",IF(OR(D71="Coverage",D71="Thickness"),M71/J71*O71*IF(P71="",1,P71)*(1+IF(Q71="",0,Q71)),IF(O71=0,"",M71/O71*IF(P71="",1,P71)*(1+IF(Q71="",0,Q71)))))</f>
        <v>32.1370397727273</v>
      </c>
      <c r="V71" s="16" t="n">
        <v>4</v>
      </c>
    </row>
    <row r="72" customFormat="false" ht="23.85" hidden="false" customHeight="false" outlineLevel="0" collapsed="false">
      <c r="A72" s="8" t="n">
        <v>67</v>
      </c>
      <c r="B72" s="8" t="s">
        <v>105</v>
      </c>
      <c r="C72" s="8" t="s">
        <v>622</v>
      </c>
      <c r="D72" s="8" t="s">
        <v>44</v>
      </c>
      <c r="E72" s="5" t="s">
        <v>631</v>
      </c>
      <c r="F72" s="9" t="s">
        <v>632</v>
      </c>
      <c r="G72" s="10" t="s">
        <v>633</v>
      </c>
      <c r="H72" s="10" t="s">
        <v>391</v>
      </c>
      <c r="I72" s="10" t="n">
        <v>1</v>
      </c>
      <c r="J72" s="11" t="n">
        <v>5</v>
      </c>
      <c r="K72" s="10" t="s">
        <v>392</v>
      </c>
      <c r="L72" s="12" t="n">
        <v>495</v>
      </c>
      <c r="M72" s="13" t="n">
        <f aca="false">IF(L72="","",L72*$C$2)</f>
        <v>539.55</v>
      </c>
      <c r="N72" s="5" t="s">
        <v>393</v>
      </c>
      <c r="O72" s="11" t="n">
        <v>0.5</v>
      </c>
      <c r="P72" s="14" t="n">
        <v>1</v>
      </c>
      <c r="Q72" s="15" t="n">
        <v>0.05</v>
      </c>
      <c r="R72" s="5"/>
      <c r="S72" s="10" t="s">
        <v>395</v>
      </c>
      <c r="T72" s="10" t="s">
        <v>409</v>
      </c>
      <c r="U72" s="13" t="n">
        <f aca="false">IF(OR(O72="",M72="",J72=""),"",IF(OR(D72="Coverage",D72="Thickness"),M72/J72*O72*IF(P72="",1,P72)*(1+IF(Q72="",0,Q72)),IF(O72=0,"",M72/O72*IF(P72="",1,P72)*(1+IF(Q72="",0,Q72)))))</f>
        <v>56.65275</v>
      </c>
      <c r="V72" s="16" t="n">
        <v>0</v>
      </c>
    </row>
    <row r="73" customFormat="false" ht="15" hidden="false" customHeight="false" outlineLevel="0" collapsed="false">
      <c r="A73" s="8" t="n">
        <v>68</v>
      </c>
      <c r="B73" s="8" t="s">
        <v>105</v>
      </c>
      <c r="C73" s="8" t="s">
        <v>634</v>
      </c>
      <c r="D73" s="8" t="s">
        <v>44</v>
      </c>
      <c r="E73" s="5" t="s">
        <v>635</v>
      </c>
      <c r="F73" s="9" t="s">
        <v>636</v>
      </c>
      <c r="G73" s="10" t="s">
        <v>637</v>
      </c>
      <c r="H73" s="10" t="s">
        <v>391</v>
      </c>
      <c r="I73" s="10" t="n">
        <v>1</v>
      </c>
      <c r="J73" s="11" t="n">
        <v>25</v>
      </c>
      <c r="K73" s="10" t="s">
        <v>392</v>
      </c>
      <c r="L73" s="12" t="n">
        <v>37.5</v>
      </c>
      <c r="M73" s="13" t="n">
        <f aca="false">IF(L73="","",L73*$C$2)</f>
        <v>40.875</v>
      </c>
      <c r="N73" s="5" t="s">
        <v>393</v>
      </c>
      <c r="O73" s="11" t="n">
        <v>3</v>
      </c>
      <c r="P73" s="14" t="n">
        <v>1</v>
      </c>
      <c r="Q73" s="15" t="n">
        <v>0</v>
      </c>
      <c r="R73" s="5" t="s">
        <v>638</v>
      </c>
      <c r="S73" s="10" t="s">
        <v>395</v>
      </c>
      <c r="T73" s="10" t="s">
        <v>409</v>
      </c>
      <c r="U73" s="13" t="n">
        <f aca="false">IF(OR(O73="",M73="",J73=""),"",IF(OR(D73="Coverage",D73="Thickness"),M73/J73*O73*IF(P73="",1,P73)*(1+IF(Q73="",0,Q73)),IF(O73=0,"",M73/O73*IF(P73="",1,P73)*(1+IF(Q73="",0,Q73)))))</f>
        <v>4.905</v>
      </c>
      <c r="V73" s="16" t="n">
        <v>-10</v>
      </c>
    </row>
    <row r="74" customFormat="false" ht="15" hidden="false" customHeight="false" outlineLevel="0" collapsed="false">
      <c r="A74" s="8" t="n">
        <v>69</v>
      </c>
      <c r="B74" s="8" t="s">
        <v>105</v>
      </c>
      <c r="C74" s="8" t="s">
        <v>634</v>
      </c>
      <c r="D74" s="8" t="s">
        <v>44</v>
      </c>
      <c r="E74" s="5" t="s">
        <v>639</v>
      </c>
      <c r="F74" s="9" t="s">
        <v>640</v>
      </c>
      <c r="G74" s="10" t="s">
        <v>641</v>
      </c>
      <c r="H74" s="10" t="s">
        <v>391</v>
      </c>
      <c r="I74" s="10" t="n">
        <v>1</v>
      </c>
      <c r="J74" s="11" t="n">
        <v>25</v>
      </c>
      <c r="K74" s="10" t="s">
        <v>392</v>
      </c>
      <c r="L74" s="12" t="n">
        <v>37.5</v>
      </c>
      <c r="M74" s="13" t="n">
        <f aca="false">IF(L74="","",L74*$C$2)</f>
        <v>40.875</v>
      </c>
      <c r="N74" s="5" t="s">
        <v>393</v>
      </c>
      <c r="O74" s="11" t="n">
        <v>4</v>
      </c>
      <c r="P74" s="14" t="n">
        <v>1</v>
      </c>
      <c r="Q74" s="15" t="n">
        <v>0</v>
      </c>
      <c r="R74" s="5"/>
      <c r="S74" s="10" t="s">
        <v>395</v>
      </c>
      <c r="T74" s="10" t="s">
        <v>409</v>
      </c>
      <c r="U74" s="13" t="n">
        <f aca="false">IF(OR(O74="",M74="",J74=""),"",IF(OR(D74="Coverage",D74="Thickness"),M74/J74*O74*IF(P74="",1,P74)*(1+IF(Q74="",0,Q74)),IF(O74=0,"",M74/O74*IF(P74="",1,P74)*(1+IF(Q74="",0,Q74)))))</f>
        <v>6.54</v>
      </c>
      <c r="V74" s="16" t="n">
        <v>114</v>
      </c>
    </row>
    <row r="75" customFormat="false" ht="15" hidden="false" customHeight="false" outlineLevel="0" collapsed="false">
      <c r="A75" s="8" t="n">
        <v>70</v>
      </c>
      <c r="B75" s="8" t="s">
        <v>105</v>
      </c>
      <c r="C75" s="8" t="s">
        <v>634</v>
      </c>
      <c r="D75" s="8" t="s">
        <v>44</v>
      </c>
      <c r="E75" s="5" t="s">
        <v>642</v>
      </c>
      <c r="F75" s="9" t="s">
        <v>643</v>
      </c>
      <c r="G75" s="10" t="s">
        <v>644</v>
      </c>
      <c r="H75" s="10" t="s">
        <v>391</v>
      </c>
      <c r="I75" s="10" t="n">
        <v>1</v>
      </c>
      <c r="J75" s="11" t="n">
        <v>25</v>
      </c>
      <c r="K75" s="10" t="s">
        <v>392</v>
      </c>
      <c r="L75" s="12" t="n">
        <v>34.5</v>
      </c>
      <c r="M75" s="13" t="n">
        <f aca="false">IF(L75="","",L75*$C$2)</f>
        <v>37.605</v>
      </c>
      <c r="N75" s="5" t="s">
        <v>393</v>
      </c>
      <c r="O75" s="11" t="n">
        <v>5</v>
      </c>
      <c r="P75" s="14" t="n">
        <v>1</v>
      </c>
      <c r="Q75" s="15" t="n">
        <v>0</v>
      </c>
      <c r="R75" s="5"/>
      <c r="S75" s="10" t="s">
        <v>395</v>
      </c>
      <c r="T75" s="10" t="s">
        <v>409</v>
      </c>
      <c r="U75" s="13" t="n">
        <f aca="false">IF(OR(O75="",M75="",J75=""),"",IF(OR(D75="Coverage",D75="Thickness"),M75/J75*O75*IF(P75="",1,P75)*(1+IF(Q75="",0,Q75)),IF(O75=0,"",M75/O75*IF(P75="",1,P75)*(1+IF(Q75="",0,Q75)))))</f>
        <v>7.521</v>
      </c>
      <c r="V75" s="16" t="n">
        <v>65</v>
      </c>
    </row>
    <row r="76" customFormat="false" ht="15" hidden="false" customHeight="false" outlineLevel="0" collapsed="false">
      <c r="A76" s="8" t="n">
        <v>71</v>
      </c>
      <c r="B76" s="8" t="s">
        <v>105</v>
      </c>
      <c r="C76" s="8" t="s">
        <v>569</v>
      </c>
      <c r="D76" s="8" t="s">
        <v>44</v>
      </c>
      <c r="E76" s="5" t="s">
        <v>645</v>
      </c>
      <c r="F76" s="9" t="s">
        <v>646</v>
      </c>
      <c r="G76" s="10" t="s">
        <v>647</v>
      </c>
      <c r="H76" s="10" t="s">
        <v>391</v>
      </c>
      <c r="I76" s="10" t="n">
        <v>1</v>
      </c>
      <c r="J76" s="11" t="n">
        <v>5.4</v>
      </c>
      <c r="K76" s="10" t="s">
        <v>392</v>
      </c>
      <c r="L76" s="12" t="n">
        <v>320.76</v>
      </c>
      <c r="M76" s="13" t="n">
        <f aca="false">IF(L76="","",L76*$C$2)</f>
        <v>349.6284</v>
      </c>
      <c r="N76" s="5" t="s">
        <v>444</v>
      </c>
      <c r="O76" s="11" t="n">
        <v>0.15</v>
      </c>
      <c r="P76" s="14" t="n">
        <v>2</v>
      </c>
      <c r="Q76" s="15" t="n">
        <v>0.05</v>
      </c>
      <c r="R76" s="5" t="s">
        <v>445</v>
      </c>
      <c r="S76" s="10" t="s">
        <v>395</v>
      </c>
      <c r="T76" s="10" t="s">
        <v>396</v>
      </c>
      <c r="U76" s="13" t="n">
        <f aca="false">IF(OR(O76="",M76="",J76=""),"",IF(OR(D76="Coverage",D76="Thickness"),M76/J76*O76*IF(P76="",1,P76)*(1+IF(Q76="",0,Q76)),IF(O76=0,"",M76/O76*IF(P76="",1,P76)*(1+IF(Q76="",0,Q76)))))</f>
        <v>20.39499</v>
      </c>
      <c r="V76" s="16" t="n">
        <v>11</v>
      </c>
    </row>
    <row r="77" customFormat="false" ht="15" hidden="false" customHeight="false" outlineLevel="0" collapsed="false">
      <c r="A77" s="8" t="n">
        <v>72</v>
      </c>
      <c r="B77" s="8" t="s">
        <v>105</v>
      </c>
      <c r="C77" s="8" t="s">
        <v>569</v>
      </c>
      <c r="D77" s="8" t="s">
        <v>44</v>
      </c>
      <c r="E77" s="5" t="s">
        <v>648</v>
      </c>
      <c r="F77" s="9" t="s">
        <v>649</v>
      </c>
      <c r="G77" s="10"/>
      <c r="H77" s="10" t="s">
        <v>391</v>
      </c>
      <c r="I77" s="10" t="n">
        <v>1</v>
      </c>
      <c r="J77" s="11" t="n">
        <v>11</v>
      </c>
      <c r="K77" s="10" t="s">
        <v>392</v>
      </c>
      <c r="L77" s="12" t="n">
        <v>627</v>
      </c>
      <c r="M77" s="13" t="n">
        <f aca="false">IF(L77="","",L77*$C$2)</f>
        <v>683.43</v>
      </c>
      <c r="N77" s="5" t="s">
        <v>444</v>
      </c>
      <c r="O77" s="11" t="n">
        <v>0.12</v>
      </c>
      <c r="P77" s="14" t="n">
        <v>2</v>
      </c>
      <c r="Q77" s="15" t="n">
        <v>0.05</v>
      </c>
      <c r="R77" s="5" t="s">
        <v>445</v>
      </c>
      <c r="S77" s="10" t="s">
        <v>395</v>
      </c>
      <c r="T77" s="10" t="s">
        <v>396</v>
      </c>
      <c r="U77" s="13" t="n">
        <f aca="false">IF(OR(O77="",M77="",J77=""),"",IF(OR(D77="Coverage",D77="Thickness"),M77/J77*O77*IF(P77="",1,P77)*(1+IF(Q77="",0,Q77)),IF(O77=0,"",M77/O77*IF(P77="",1,P77)*(1+IF(Q77="",0,Q77)))))</f>
        <v>15.65676</v>
      </c>
      <c r="V77" s="16" t="n">
        <v>0</v>
      </c>
    </row>
    <row r="78" customFormat="false" ht="15" hidden="false" customHeight="false" outlineLevel="0" collapsed="false">
      <c r="A78" s="8" t="n">
        <v>73</v>
      </c>
      <c r="B78" s="8" t="s">
        <v>105</v>
      </c>
      <c r="C78" s="8" t="s">
        <v>569</v>
      </c>
      <c r="D78" s="8" t="s">
        <v>44</v>
      </c>
      <c r="E78" s="5" t="s">
        <v>650</v>
      </c>
      <c r="F78" s="9" t="s">
        <v>651</v>
      </c>
      <c r="G78" s="10" t="s">
        <v>652</v>
      </c>
      <c r="H78" s="10" t="s">
        <v>391</v>
      </c>
      <c r="I78" s="10" t="n">
        <v>1</v>
      </c>
      <c r="J78" s="11" t="n">
        <v>5.5</v>
      </c>
      <c r="K78" s="10" t="s">
        <v>392</v>
      </c>
      <c r="L78" s="12" t="n">
        <v>410.1</v>
      </c>
      <c r="M78" s="13" t="n">
        <f aca="false">IF(L78="","",L78*$C$2)</f>
        <v>447.009</v>
      </c>
      <c r="N78" s="5" t="s">
        <v>444</v>
      </c>
      <c r="O78" s="11" t="n">
        <v>0.1</v>
      </c>
      <c r="P78" s="14" t="n">
        <v>2</v>
      </c>
      <c r="Q78" s="15" t="n">
        <v>0.05</v>
      </c>
      <c r="R78" s="5" t="s">
        <v>445</v>
      </c>
      <c r="S78" s="10" t="s">
        <v>395</v>
      </c>
      <c r="T78" s="10" t="s">
        <v>396</v>
      </c>
      <c r="U78" s="13" t="n">
        <f aca="false">IF(OR(O78="",M78="",J78=""),"",IF(OR(D78="Coverage",D78="Thickness"),M78/J78*O78*IF(P78="",1,P78)*(1+IF(Q78="",0,Q78)),IF(O78=0,"",M78/O78*IF(P78="",1,P78)*(1+IF(Q78="",0,Q78)))))</f>
        <v>17.0676163636364</v>
      </c>
      <c r="V78" s="16" t="n">
        <v>98</v>
      </c>
    </row>
    <row r="79" customFormat="false" ht="23.85" hidden="false" customHeight="false" outlineLevel="0" collapsed="false">
      <c r="A79" s="8" t="n">
        <v>74</v>
      </c>
      <c r="B79" s="8" t="s">
        <v>105</v>
      </c>
      <c r="C79" s="8" t="s">
        <v>569</v>
      </c>
      <c r="D79" s="8" t="s">
        <v>44</v>
      </c>
      <c r="E79" s="5" t="s">
        <v>653</v>
      </c>
      <c r="F79" s="9" t="s">
        <v>654</v>
      </c>
      <c r="G79" s="10" t="s">
        <v>655</v>
      </c>
      <c r="H79" s="10" t="s">
        <v>391</v>
      </c>
      <c r="I79" s="10" t="n">
        <v>1</v>
      </c>
      <c r="J79" s="11" t="n">
        <v>22.5</v>
      </c>
      <c r="K79" s="10" t="s">
        <v>392</v>
      </c>
      <c r="L79" s="12" t="n">
        <v>577.17</v>
      </c>
      <c r="M79" s="13" t="n">
        <f aca="false">IF(L79="","",L79*$C$2)</f>
        <v>629.1153</v>
      </c>
      <c r="N79" s="5" t="s">
        <v>444</v>
      </c>
      <c r="O79" s="11" t="n">
        <v>0.25</v>
      </c>
      <c r="P79" s="14" t="n">
        <v>2</v>
      </c>
      <c r="Q79" s="15" t="n">
        <v>0.05</v>
      </c>
      <c r="R79" s="5" t="s">
        <v>445</v>
      </c>
      <c r="S79" s="10" t="s">
        <v>395</v>
      </c>
      <c r="T79" s="10" t="s">
        <v>409</v>
      </c>
      <c r="U79" s="13" t="n">
        <f aca="false">IF(OR(O79="",M79="",J79=""),"",IF(OR(D79="Coverage",D79="Thickness"),M79/J79*O79*IF(P79="",1,P79)*(1+IF(Q79="",0,Q79)),IF(O79=0,"",M79/O79*IF(P79="",1,P79)*(1+IF(Q79="",0,Q79)))))</f>
        <v>14.679357</v>
      </c>
      <c r="V79" s="16" t="n">
        <v>0</v>
      </c>
    </row>
    <row r="80" customFormat="false" ht="23.85" hidden="false" customHeight="false" outlineLevel="0" collapsed="false">
      <c r="A80" s="8" t="n">
        <v>75</v>
      </c>
      <c r="B80" s="8" t="s">
        <v>105</v>
      </c>
      <c r="C80" s="8" t="s">
        <v>569</v>
      </c>
      <c r="D80" s="8" t="s">
        <v>44</v>
      </c>
      <c r="E80" s="5" t="s">
        <v>656</v>
      </c>
      <c r="F80" s="9" t="s">
        <v>657</v>
      </c>
      <c r="G80" s="10" t="s">
        <v>658</v>
      </c>
      <c r="H80" s="10" t="s">
        <v>391</v>
      </c>
      <c r="I80" s="10" t="n">
        <v>1</v>
      </c>
      <c r="J80" s="11" t="n">
        <v>25.5</v>
      </c>
      <c r="K80" s="10" t="s">
        <v>392</v>
      </c>
      <c r="L80" s="12" t="n">
        <v>412.998</v>
      </c>
      <c r="M80" s="13" t="n">
        <f aca="false">IF(L80="","",L80*$C$2)</f>
        <v>450.16782</v>
      </c>
      <c r="N80" s="5" t="s">
        <v>444</v>
      </c>
      <c r="O80" s="11" t="n">
        <v>0.3</v>
      </c>
      <c r="P80" s="14" t="n">
        <v>2</v>
      </c>
      <c r="Q80" s="15" t="n">
        <v>0.05</v>
      </c>
      <c r="R80" s="5" t="s">
        <v>445</v>
      </c>
      <c r="S80" s="10" t="s">
        <v>395</v>
      </c>
      <c r="T80" s="10" t="s">
        <v>409</v>
      </c>
      <c r="U80" s="13" t="n">
        <f aca="false">IF(OR(O80="",M80="",J80=""),"",IF(OR(D80="Coverage",D80="Thickness"),M80/J80*O80*IF(P80="",1,P80)*(1+IF(Q80="",0,Q80)),IF(O80=0,"",M80/O80*IF(P80="",1,P80)*(1+IF(Q80="",0,Q80)))))</f>
        <v>11.1217932</v>
      </c>
      <c r="V80" s="16" t="n">
        <v>1</v>
      </c>
    </row>
    <row r="81" customFormat="false" ht="15" hidden="false" customHeight="false" outlineLevel="0" collapsed="false">
      <c r="A81" s="8" t="n">
        <v>76</v>
      </c>
      <c r="B81" s="8" t="s">
        <v>105</v>
      </c>
      <c r="C81" s="8" t="s">
        <v>569</v>
      </c>
      <c r="D81" s="8" t="s">
        <v>44</v>
      </c>
      <c r="E81" s="5" t="s">
        <v>659</v>
      </c>
      <c r="F81" s="9" t="s">
        <v>660</v>
      </c>
      <c r="G81" s="10" t="s">
        <v>661</v>
      </c>
      <c r="H81" s="10" t="s">
        <v>391</v>
      </c>
      <c r="I81" s="10" t="n">
        <v>1</v>
      </c>
      <c r="J81" s="11" t="n">
        <v>10</v>
      </c>
      <c r="K81" s="10" t="s">
        <v>392</v>
      </c>
      <c r="L81" s="12" t="n">
        <v>810</v>
      </c>
      <c r="M81" s="13" t="n">
        <f aca="false">IF(L81="","",L81*$C$2)</f>
        <v>882.9</v>
      </c>
      <c r="N81" s="5" t="s">
        <v>444</v>
      </c>
      <c r="O81" s="11" t="n">
        <v>0.2</v>
      </c>
      <c r="P81" s="14" t="n">
        <v>2</v>
      </c>
      <c r="Q81" s="15" t="n">
        <v>0.05</v>
      </c>
      <c r="R81" s="5" t="s">
        <v>445</v>
      </c>
      <c r="S81" s="10" t="s">
        <v>395</v>
      </c>
      <c r="T81" s="10" t="s">
        <v>409</v>
      </c>
      <c r="U81" s="13" t="n">
        <f aca="false">IF(OR(O81="",M81="",J81=""),"",IF(OR(D81="Coverage",D81="Thickness"),M81/J81*O81*IF(P81="",1,P81)*(1+IF(Q81="",0,Q81)),IF(O81=0,"",M81/O81*IF(P81="",1,P81)*(1+IF(Q81="",0,Q81)))))</f>
        <v>37.0818</v>
      </c>
      <c r="V81" s="16" t="n">
        <v>0</v>
      </c>
    </row>
    <row r="82" customFormat="false" ht="15" hidden="false" customHeight="false" outlineLevel="0" collapsed="false">
      <c r="A82" s="8" t="n">
        <v>77</v>
      </c>
      <c r="B82" s="8" t="s">
        <v>105</v>
      </c>
      <c r="C82" s="8" t="s">
        <v>662</v>
      </c>
      <c r="D82" s="8" t="s">
        <v>73</v>
      </c>
      <c r="E82" s="5" t="s">
        <v>663</v>
      </c>
      <c r="F82" s="9" t="s">
        <v>664</v>
      </c>
      <c r="G82" s="10"/>
      <c r="H82" s="10" t="s">
        <v>391</v>
      </c>
      <c r="I82" s="10" t="n">
        <v>1</v>
      </c>
      <c r="J82" s="11" t="n">
        <v>28.32</v>
      </c>
      <c r="K82" s="10" t="s">
        <v>392</v>
      </c>
      <c r="L82" s="12" t="n">
        <v>405.32</v>
      </c>
      <c r="M82" s="13" t="n">
        <f aca="false">IF(L82="","",L82*$C$2)</f>
        <v>441.7988</v>
      </c>
      <c r="N82" s="5" t="s">
        <v>431</v>
      </c>
      <c r="O82" s="11" t="n">
        <v>2</v>
      </c>
      <c r="P82" s="14" t="n">
        <v>6</v>
      </c>
      <c r="Q82" s="15" t="n">
        <v>0.05</v>
      </c>
      <c r="R82" s="5" t="s">
        <v>665</v>
      </c>
      <c r="S82" s="10" t="s">
        <v>395</v>
      </c>
      <c r="T82" s="10" t="s">
        <v>409</v>
      </c>
      <c r="U82" s="13" t="n">
        <f aca="false">IF(OR(O82="",M82="",J82=""),"",IF(OR(D82="Coverage",D82="Thickness"),M82/J82*O82*IF(P82="",1,P82)*(1+IF(Q82="",0,Q82)),IF(O82=0,"",M82/O82*IF(P82="",1,P82)*(1+IF(Q82="",0,Q82)))))</f>
        <v>196.563025423729</v>
      </c>
      <c r="V82" s="16" t="n">
        <v>0</v>
      </c>
    </row>
    <row r="83" customFormat="false" ht="15" hidden="false" customHeight="false" outlineLevel="0" collapsed="false">
      <c r="A83" s="8" t="n">
        <v>78</v>
      </c>
      <c r="B83" s="8" t="s">
        <v>105</v>
      </c>
      <c r="C83" s="8" t="s">
        <v>662</v>
      </c>
      <c r="D83" s="8" t="s">
        <v>73</v>
      </c>
      <c r="E83" s="5" t="s">
        <v>666</v>
      </c>
      <c r="F83" s="9" t="s">
        <v>667</v>
      </c>
      <c r="G83" s="10"/>
      <c r="H83" s="10" t="s">
        <v>391</v>
      </c>
      <c r="I83" s="10" t="n">
        <v>1</v>
      </c>
      <c r="J83" s="11" t="n">
        <v>22.66</v>
      </c>
      <c r="K83" s="10" t="s">
        <v>392</v>
      </c>
      <c r="L83" s="12" t="n">
        <v>212.55</v>
      </c>
      <c r="M83" s="13" t="n">
        <f aca="false">IF(L83="","",L83*$C$2)</f>
        <v>231.6795</v>
      </c>
      <c r="N83" s="5" t="s">
        <v>431</v>
      </c>
      <c r="O83" s="11" t="n">
        <v>2</v>
      </c>
      <c r="P83" s="14" t="n">
        <v>6</v>
      </c>
      <c r="Q83" s="15" t="n">
        <v>0.05</v>
      </c>
      <c r="R83" s="5" t="s">
        <v>665</v>
      </c>
      <c r="S83" s="10" t="s">
        <v>395</v>
      </c>
      <c r="T83" s="10" t="s">
        <v>409</v>
      </c>
      <c r="U83" s="13" t="n">
        <f aca="false">IF(OR(O83="",M83="",J83=""),"",IF(OR(D83="Coverage",D83="Thickness"),M83/J83*O83*IF(P83="",1,P83)*(1+IF(Q83="",0,Q83)),IF(O83=0,"",M83/O83*IF(P83="",1,P83)*(1+IF(Q83="",0,Q83)))))</f>
        <v>128.824435127979</v>
      </c>
      <c r="V83" s="16" t="n">
        <v>9</v>
      </c>
    </row>
    <row r="84" customFormat="false" ht="15" hidden="false" customHeight="false" outlineLevel="0" collapsed="false">
      <c r="A84" s="8" t="n">
        <v>79</v>
      </c>
      <c r="B84" s="8" t="s">
        <v>105</v>
      </c>
      <c r="C84" s="8" t="s">
        <v>662</v>
      </c>
      <c r="D84" s="8" t="s">
        <v>44</v>
      </c>
      <c r="E84" s="5" t="s">
        <v>668</v>
      </c>
      <c r="F84" s="9" t="s">
        <v>669</v>
      </c>
      <c r="G84" s="10"/>
      <c r="H84" s="10" t="s">
        <v>391</v>
      </c>
      <c r="I84" s="10" t="n">
        <v>1</v>
      </c>
      <c r="J84" s="11" t="n">
        <v>6.66</v>
      </c>
      <c r="K84" s="10" t="s">
        <v>392</v>
      </c>
      <c r="L84" s="12" t="n">
        <v>141</v>
      </c>
      <c r="M84" s="13" t="n">
        <f aca="false">IF(L84="","",L84*$C$2)</f>
        <v>153.69</v>
      </c>
      <c r="N84" s="5" t="s">
        <v>444</v>
      </c>
      <c r="O84" s="11" t="n">
        <v>0.5</v>
      </c>
      <c r="P84" s="14" t="n">
        <v>1</v>
      </c>
      <c r="Q84" s="15" t="n">
        <v>0.05</v>
      </c>
      <c r="R84" s="5"/>
      <c r="S84" s="10" t="s">
        <v>395</v>
      </c>
      <c r="T84" s="10" t="s">
        <v>409</v>
      </c>
      <c r="U84" s="13" t="n">
        <f aca="false">IF(OR(O84="",M84="",J84=""),"",IF(OR(D84="Coverage",D84="Thickness"),M84/J84*O84*IF(P84="",1,P84)*(1+IF(Q84="",0,Q84)),IF(O84=0,"",M84/O84*IF(P84="",1,P84)*(1+IF(Q84="",0,Q84)))))</f>
        <v>12.1152027027027</v>
      </c>
      <c r="V84" s="16" t="n">
        <v>2</v>
      </c>
    </row>
    <row r="85" customFormat="false" ht="15" hidden="false" customHeight="false" outlineLevel="0" collapsed="false">
      <c r="A85" s="8" t="n">
        <v>80</v>
      </c>
      <c r="B85" s="8" t="s">
        <v>105</v>
      </c>
      <c r="C85" s="8" t="s">
        <v>662</v>
      </c>
      <c r="D85" s="8" t="s">
        <v>113</v>
      </c>
      <c r="E85" s="5" t="s">
        <v>670</v>
      </c>
      <c r="F85" s="9" t="s">
        <v>671</v>
      </c>
      <c r="G85" s="10"/>
      <c r="H85" s="10" t="s">
        <v>391</v>
      </c>
      <c r="I85" s="10" t="n">
        <v>1</v>
      </c>
      <c r="J85" s="11" t="n">
        <v>29.16</v>
      </c>
      <c r="K85" s="10" t="s">
        <v>392</v>
      </c>
      <c r="L85" s="12" t="n">
        <v>253.5</v>
      </c>
      <c r="M85" s="13" t="n">
        <f aca="false">IF(L85="","",L85*$C$2)</f>
        <v>276.315</v>
      </c>
      <c r="N85" s="5" t="s">
        <v>672</v>
      </c>
      <c r="O85" s="29" t="n">
        <v>2.5</v>
      </c>
      <c r="P85" s="30" t="n">
        <v>1</v>
      </c>
      <c r="Q85" s="31" t="n">
        <v>0.05</v>
      </c>
      <c r="R85" s="5" t="s">
        <v>673</v>
      </c>
      <c r="S85" s="10" t="s">
        <v>395</v>
      </c>
      <c r="T85" s="32" t="s">
        <v>417</v>
      </c>
      <c r="U85" s="13" t="n">
        <f aca="false">IF(OR(O85="",M85="",J85=""),"",IF(OR(D85="Coverage",D85="Thickness"),M85/J85*O85*IF(P85="",1,P85)*(1+IF(Q85="",0,Q85)),IF(O85=0,"",M85/O85*IF(P85="",1,P85)*(1+IF(Q85="",0,Q85)))))</f>
        <v>116.0523</v>
      </c>
      <c r="V85" s="16" t="n">
        <v>0</v>
      </c>
    </row>
    <row r="86" customFormat="false" ht="15" hidden="false" customHeight="false" outlineLevel="0" collapsed="false">
      <c r="A86" s="8" t="n">
        <v>81</v>
      </c>
      <c r="B86" s="8" t="s">
        <v>105</v>
      </c>
      <c r="C86" s="8" t="s">
        <v>674</v>
      </c>
      <c r="D86" s="8" t="s">
        <v>73</v>
      </c>
      <c r="E86" s="5" t="s">
        <v>675</v>
      </c>
      <c r="F86" s="9" t="s">
        <v>676</v>
      </c>
      <c r="G86" s="10" t="s">
        <v>677</v>
      </c>
      <c r="H86" s="10" t="s">
        <v>391</v>
      </c>
      <c r="I86" s="10" t="n">
        <v>1</v>
      </c>
      <c r="J86" s="11" t="n">
        <v>19.9</v>
      </c>
      <c r="K86" s="10" t="s">
        <v>392</v>
      </c>
      <c r="L86" s="12" t="n">
        <v>601.78</v>
      </c>
      <c r="M86" s="13" t="n">
        <f aca="false">IF(L86="","",L86*$C$2)</f>
        <v>655.9402</v>
      </c>
      <c r="N86" s="5" t="s">
        <v>431</v>
      </c>
      <c r="O86" s="11" t="n">
        <v>1.4</v>
      </c>
      <c r="P86" s="14" t="n">
        <v>2</v>
      </c>
      <c r="Q86" s="15" t="n">
        <v>0.05</v>
      </c>
      <c r="R86" s="5" t="s">
        <v>440</v>
      </c>
      <c r="S86" s="10" t="s">
        <v>395</v>
      </c>
      <c r="T86" s="10" t="s">
        <v>409</v>
      </c>
      <c r="U86" s="13" t="n">
        <f aca="false">IF(OR(O86="",M86="",J86=""),"",IF(OR(D86="Coverage",D86="Thickness"),M86/J86*O86*IF(P86="",1,P86)*(1+IF(Q86="",0,Q86)),IF(O86=0,"",M86/O86*IF(P86="",1,P86)*(1+IF(Q86="",0,Q86)))))</f>
        <v>96.9077481407035</v>
      </c>
      <c r="V86" s="16" t="n">
        <v>0</v>
      </c>
    </row>
    <row r="87" customFormat="false" ht="15" hidden="false" customHeight="false" outlineLevel="0" collapsed="false">
      <c r="A87" s="8" t="n">
        <v>82</v>
      </c>
      <c r="B87" s="8" t="s">
        <v>105</v>
      </c>
      <c r="C87" s="8" t="s">
        <v>678</v>
      </c>
      <c r="D87" s="8" t="s">
        <v>44</v>
      </c>
      <c r="E87" s="5" t="s">
        <v>679</v>
      </c>
      <c r="F87" s="9" t="s">
        <v>680</v>
      </c>
      <c r="G87" s="10" t="s">
        <v>681</v>
      </c>
      <c r="H87" s="10" t="s">
        <v>391</v>
      </c>
      <c r="I87" s="10" t="n">
        <v>1</v>
      </c>
      <c r="J87" s="11" t="n">
        <v>20</v>
      </c>
      <c r="K87" s="10" t="s">
        <v>392</v>
      </c>
      <c r="L87" s="12" t="n">
        <v>280.8</v>
      </c>
      <c r="M87" s="13" t="n">
        <f aca="false">IF(L87="","",L87*$C$2)</f>
        <v>306.072</v>
      </c>
      <c r="N87" s="5" t="s">
        <v>444</v>
      </c>
      <c r="O87" s="11" t="n">
        <v>0.6</v>
      </c>
      <c r="P87" s="14" t="n">
        <v>1</v>
      </c>
      <c r="Q87" s="15" t="n">
        <v>0.05</v>
      </c>
      <c r="R87" s="5"/>
      <c r="S87" s="10" t="s">
        <v>395</v>
      </c>
      <c r="T87" s="10" t="s">
        <v>409</v>
      </c>
      <c r="U87" s="13" t="n">
        <f aca="false">IF(OR(O87="",M87="",J87=""),"",IF(OR(D87="Coverage",D87="Thickness"),M87/J87*O87*IF(P87="",1,P87)*(1+IF(Q87="",0,Q87)),IF(O87=0,"",M87/O87*IF(P87="",1,P87)*(1+IF(Q87="",0,Q87)))))</f>
        <v>9.641268</v>
      </c>
      <c r="V87" s="16" t="n">
        <v>0</v>
      </c>
    </row>
    <row r="88" customFormat="false" ht="15" hidden="false" customHeight="false" outlineLevel="0" collapsed="false">
      <c r="A88" s="8" t="n">
        <v>83</v>
      </c>
      <c r="B88" s="8" t="s">
        <v>105</v>
      </c>
      <c r="C88" s="8" t="s">
        <v>678</v>
      </c>
      <c r="D88" s="8" t="s">
        <v>44</v>
      </c>
      <c r="E88" s="5" t="s">
        <v>682</v>
      </c>
      <c r="F88" s="9" t="s">
        <v>683</v>
      </c>
      <c r="G88" s="10"/>
      <c r="H88" s="10" t="s">
        <v>391</v>
      </c>
      <c r="I88" s="10" t="n">
        <v>1</v>
      </c>
      <c r="J88" s="11" t="n">
        <v>20</v>
      </c>
      <c r="K88" s="10" t="s">
        <v>392</v>
      </c>
      <c r="L88" s="12" t="n">
        <v>340</v>
      </c>
      <c r="M88" s="13" t="n">
        <f aca="false">IF(L88="","",L88*$C$2)</f>
        <v>370.6</v>
      </c>
      <c r="N88" s="5" t="s">
        <v>444</v>
      </c>
      <c r="O88" s="11" t="n">
        <v>0.35</v>
      </c>
      <c r="P88" s="14" t="n">
        <v>2</v>
      </c>
      <c r="Q88" s="15" t="n">
        <v>0.05</v>
      </c>
      <c r="R88" s="5" t="s">
        <v>445</v>
      </c>
      <c r="S88" s="10" t="s">
        <v>395</v>
      </c>
      <c r="T88" s="10" t="s">
        <v>409</v>
      </c>
      <c r="U88" s="13" t="n">
        <f aca="false">IF(OR(O88="",M88="",J88=""),"",IF(OR(D88="Coverage",D88="Thickness"),M88/J88*O88*IF(P88="",1,P88)*(1+IF(Q88="",0,Q88)),IF(O88=0,"",M88/O88*IF(P88="",1,P88)*(1+IF(Q88="",0,Q88)))))</f>
        <v>13.61955</v>
      </c>
      <c r="V88" s="16" t="n">
        <v>0</v>
      </c>
    </row>
    <row r="89" customFormat="false" ht="15" hidden="false" customHeight="false" outlineLevel="0" collapsed="false">
      <c r="A89" s="8" t="n">
        <v>84</v>
      </c>
      <c r="B89" s="8" t="s">
        <v>105</v>
      </c>
      <c r="C89" s="8" t="s">
        <v>678</v>
      </c>
      <c r="D89" s="8" t="s">
        <v>44</v>
      </c>
      <c r="E89" s="5" t="s">
        <v>684</v>
      </c>
      <c r="F89" s="9" t="s">
        <v>685</v>
      </c>
      <c r="G89" s="10" t="s">
        <v>686</v>
      </c>
      <c r="H89" s="10" t="s">
        <v>391</v>
      </c>
      <c r="I89" s="10" t="n">
        <v>1</v>
      </c>
      <c r="J89" s="11" t="n">
        <v>20</v>
      </c>
      <c r="K89" s="10" t="s">
        <v>392</v>
      </c>
      <c r="L89" s="12" t="n">
        <v>397.8</v>
      </c>
      <c r="M89" s="13" t="n">
        <f aca="false">IF(L89="","",L89*$C$2)</f>
        <v>433.602</v>
      </c>
      <c r="N89" s="5" t="s">
        <v>444</v>
      </c>
      <c r="O89" s="11" t="n">
        <v>0.35</v>
      </c>
      <c r="P89" s="14" t="n">
        <v>2</v>
      </c>
      <c r="Q89" s="15" t="n">
        <v>0.05</v>
      </c>
      <c r="R89" s="5" t="s">
        <v>445</v>
      </c>
      <c r="S89" s="10" t="s">
        <v>395</v>
      </c>
      <c r="T89" s="10" t="s">
        <v>409</v>
      </c>
      <c r="U89" s="13" t="n">
        <f aca="false">IF(OR(O89="",M89="",J89=""),"",IF(OR(D89="Coverage",D89="Thickness"),M89/J89*O89*IF(P89="",1,P89)*(1+IF(Q89="",0,Q89)),IF(O89=0,"",M89/O89*IF(P89="",1,P89)*(1+IF(Q89="",0,Q89)))))</f>
        <v>15.9348735</v>
      </c>
      <c r="V89" s="16" t="n">
        <v>0</v>
      </c>
    </row>
    <row r="90" customFormat="false" ht="15" hidden="false" customHeight="false" outlineLevel="0" collapsed="false">
      <c r="A90" s="8" t="n">
        <v>85</v>
      </c>
      <c r="B90" s="8" t="s">
        <v>105</v>
      </c>
      <c r="C90" s="8" t="s">
        <v>678</v>
      </c>
      <c r="D90" s="8" t="s">
        <v>44</v>
      </c>
      <c r="E90" s="5" t="s">
        <v>687</v>
      </c>
      <c r="F90" s="9" t="s">
        <v>688</v>
      </c>
      <c r="G90" s="10" t="s">
        <v>689</v>
      </c>
      <c r="H90" s="10" t="s">
        <v>391</v>
      </c>
      <c r="I90" s="10" t="n">
        <v>1</v>
      </c>
      <c r="J90" s="11" t="n">
        <v>5</v>
      </c>
      <c r="K90" s="10" t="s">
        <v>392</v>
      </c>
      <c r="L90" s="12" t="n">
        <v>105.3</v>
      </c>
      <c r="M90" s="13" t="n">
        <f aca="false">IF(L90="","",L90*$C$2)</f>
        <v>114.777</v>
      </c>
      <c r="N90" s="5" t="s">
        <v>690</v>
      </c>
      <c r="O90" s="11" t="n">
        <v>20</v>
      </c>
      <c r="P90" s="14" t="n">
        <v>1</v>
      </c>
      <c r="Q90" s="15" t="n">
        <v>0.05</v>
      </c>
      <c r="R90" s="5" t="s">
        <v>691</v>
      </c>
      <c r="S90" s="10" t="s">
        <v>395</v>
      </c>
      <c r="T90" s="10" t="s">
        <v>409</v>
      </c>
      <c r="U90" s="13" t="n">
        <f aca="false">IF(OR(O90="",M90="",J90=""),"",IF(OR(D90="Coverage",D90="Thickness"),M90/J90*O90*IF(P90="",1,P90)*(1+IF(Q90="",0,Q90)),IF(O90=0,"",M90/O90*IF(P90="",1,P90)*(1+IF(Q90="",0,Q90)))))</f>
        <v>482.0634</v>
      </c>
      <c r="V90" s="16" t="n">
        <v>0</v>
      </c>
    </row>
    <row r="91" customFormat="false" ht="15" hidden="false" customHeight="false" outlineLevel="0" collapsed="false">
      <c r="A91" s="8" t="n">
        <v>86</v>
      </c>
      <c r="B91" s="8" t="s">
        <v>105</v>
      </c>
      <c r="C91" s="8" t="s">
        <v>692</v>
      </c>
      <c r="D91" s="8" t="s">
        <v>44</v>
      </c>
      <c r="E91" s="5" t="s">
        <v>693</v>
      </c>
      <c r="F91" s="9" t="s">
        <v>694</v>
      </c>
      <c r="G91" s="10" t="s">
        <v>695</v>
      </c>
      <c r="H91" s="10" t="s">
        <v>416</v>
      </c>
      <c r="I91" s="10" t="n">
        <v>1</v>
      </c>
      <c r="J91" s="11" t="n">
        <v>27.8</v>
      </c>
      <c r="K91" s="10" t="s">
        <v>392</v>
      </c>
      <c r="L91" s="12" t="n">
        <v>103.92</v>
      </c>
      <c r="M91" s="13" t="n">
        <f aca="false">IF(L91="","",L91*$C$2)</f>
        <v>113.2728</v>
      </c>
      <c r="N91" s="5" t="s">
        <v>431</v>
      </c>
      <c r="O91" s="11" t="n">
        <v>1.6</v>
      </c>
      <c r="P91" s="14" t="n">
        <v>2</v>
      </c>
      <c r="Q91" s="15" t="n">
        <v>0.05</v>
      </c>
      <c r="R91" s="5" t="s">
        <v>440</v>
      </c>
      <c r="S91" s="10" t="s">
        <v>395</v>
      </c>
      <c r="T91" s="10" t="s">
        <v>409</v>
      </c>
      <c r="U91" s="13" t="n">
        <f aca="false">IF(OR(O91="",M91="",J91=""),"",IF(OR(D91="Coverage",D91="Thickness"),M91/J91*O91*IF(P91="",1,P91)*(1+IF(Q91="",0,Q91)),IF(O91=0,"",M91/O91*IF(P91="",1,P91)*(1+IF(Q91="",0,Q91)))))</f>
        <v>13.6905254676259</v>
      </c>
      <c r="V91" s="16" t="n">
        <v>0</v>
      </c>
    </row>
    <row r="92" customFormat="false" ht="15" hidden="false" customHeight="false" outlineLevel="0" collapsed="false">
      <c r="A92" s="8" t="n">
        <v>87</v>
      </c>
      <c r="B92" s="8" t="s">
        <v>105</v>
      </c>
      <c r="C92" s="8" t="s">
        <v>692</v>
      </c>
      <c r="D92" s="8" t="s">
        <v>44</v>
      </c>
      <c r="E92" s="5" t="s">
        <v>696</v>
      </c>
      <c r="F92" s="9" t="s">
        <v>697</v>
      </c>
      <c r="G92" s="10"/>
      <c r="H92" s="10" t="s">
        <v>698</v>
      </c>
      <c r="I92" s="10" t="n">
        <v>1</v>
      </c>
      <c r="J92" s="11" t="n">
        <v>12</v>
      </c>
      <c r="K92" s="10" t="s">
        <v>417</v>
      </c>
      <c r="L92" s="12" t="n">
        <v>138</v>
      </c>
      <c r="M92" s="13" t="n">
        <f aca="false">IF(L92="","",L92*$C$2)</f>
        <v>150.42</v>
      </c>
      <c r="N92" s="5" t="s">
        <v>699</v>
      </c>
      <c r="O92" s="29" t="n">
        <v>11</v>
      </c>
      <c r="P92" s="30" t="n">
        <v>1</v>
      </c>
      <c r="Q92" s="31" t="n">
        <v>0.05</v>
      </c>
      <c r="R92" s="5" t="s">
        <v>699</v>
      </c>
      <c r="S92" s="10" t="s">
        <v>395</v>
      </c>
      <c r="T92" s="32" t="s">
        <v>417</v>
      </c>
      <c r="U92" s="13" t="n">
        <f aca="false">IF(OR(O92="",M92="",J92=""),"",IF(OR(D92="Coverage",D92="Thickness"),M92/J92*O92*IF(P92="",1,P92)*(1+IF(Q92="",0,Q92)),IF(O92=0,"",M92/O92*IF(P92="",1,P92)*(1+IF(Q92="",0,Q92)))))</f>
        <v>144.77925</v>
      </c>
      <c r="V92" s="16" t="n">
        <v>0</v>
      </c>
    </row>
    <row r="93" customFormat="false" ht="23.85" hidden="false" customHeight="false" outlineLevel="0" collapsed="false">
      <c r="A93" s="8" t="n">
        <v>88</v>
      </c>
      <c r="B93" s="8" t="s">
        <v>105</v>
      </c>
      <c r="C93" s="8" t="s">
        <v>692</v>
      </c>
      <c r="D93" s="8" t="s">
        <v>44</v>
      </c>
      <c r="E93" s="5" t="s">
        <v>700</v>
      </c>
      <c r="F93" s="9" t="s">
        <v>701</v>
      </c>
      <c r="G93" s="10"/>
      <c r="H93" s="10" t="s">
        <v>698</v>
      </c>
      <c r="I93" s="10" t="n">
        <v>1</v>
      </c>
      <c r="J93" s="11" t="n">
        <v>18</v>
      </c>
      <c r="K93" s="10" t="s">
        <v>417</v>
      </c>
      <c r="L93" s="12" t="n">
        <v>310</v>
      </c>
      <c r="M93" s="13" t="n">
        <f aca="false">IF(L93="","",L93*$C$2)</f>
        <v>337.9</v>
      </c>
      <c r="N93" s="5" t="s">
        <v>289</v>
      </c>
      <c r="O93" s="29" t="n">
        <v>6</v>
      </c>
      <c r="P93" s="30" t="n">
        <v>2</v>
      </c>
      <c r="Q93" s="31" t="n">
        <v>0.05</v>
      </c>
      <c r="R93" s="5" t="s">
        <v>702</v>
      </c>
      <c r="S93" s="10" t="s">
        <v>395</v>
      </c>
      <c r="T93" s="32" t="s">
        <v>417</v>
      </c>
      <c r="U93" s="13" t="n">
        <f aca="false">IF(OR(O93="",M93="",J93=""),"",IF(OR(D93="Coverage",D93="Thickness"),M93/J93*O93*IF(P93="",1,P93)*(1+IF(Q93="",0,Q93)),IF(O93=0,"",M93/O93*IF(P93="",1,P93)*(1+IF(Q93="",0,Q93)))))</f>
        <v>236.53</v>
      </c>
      <c r="V93" s="16" t="n">
        <v>0</v>
      </c>
    </row>
    <row r="94" customFormat="false" ht="15" hidden="false" customHeight="false" outlineLevel="0" collapsed="false">
      <c r="A94" s="17" t="n">
        <v>89</v>
      </c>
      <c r="B94" s="17" t="s">
        <v>105</v>
      </c>
      <c r="C94" s="17" t="s">
        <v>662</v>
      </c>
      <c r="D94" s="17" t="s">
        <v>73</v>
      </c>
      <c r="E94" s="18" t="s">
        <v>703</v>
      </c>
      <c r="F94" s="19" t="s">
        <v>463</v>
      </c>
      <c r="G94" s="20"/>
      <c r="H94" s="20"/>
      <c r="I94" s="20"/>
      <c r="J94" s="21"/>
      <c r="K94" s="22"/>
      <c r="L94" s="23"/>
      <c r="M94" s="24" t="str">
        <f aca="false">IF(L94="","",L94*$C$2)</f>
        <v/>
      </c>
      <c r="N94" s="18" t="s">
        <v>431</v>
      </c>
      <c r="O94" s="25" t="n">
        <v>2</v>
      </c>
      <c r="P94" s="26" t="n">
        <v>6</v>
      </c>
      <c r="Q94" s="27" t="n">
        <v>0.05</v>
      </c>
      <c r="R94" s="18" t="s">
        <v>704</v>
      </c>
      <c r="S94" s="20" t="s">
        <v>395</v>
      </c>
      <c r="T94" s="20" t="s">
        <v>409</v>
      </c>
      <c r="U94" s="24" t="str">
        <f aca="false">IF(OR(O94="",M94="",J94=""),"",IF(OR(D94="Coverage",D94="Thickness"),M94/J94*O94*IF(P94="",1,P94)*(1+IF(Q94="",0,Q94)),IF(O94=0,"",M94/O94*IF(P94="",1,P94)*(1+IF(Q94="",0,Q94)))))</f>
        <v/>
      </c>
      <c r="V94" s="28"/>
    </row>
    <row r="95" customFormat="false" ht="15" hidden="false" customHeight="false" outlineLevel="0" collapsed="false">
      <c r="A95" s="17" t="n">
        <v>90</v>
      </c>
      <c r="B95" s="17" t="s">
        <v>105</v>
      </c>
      <c r="C95" s="17" t="s">
        <v>705</v>
      </c>
      <c r="D95" s="17" t="s">
        <v>44</v>
      </c>
      <c r="E95" s="18" t="s">
        <v>706</v>
      </c>
      <c r="F95" s="19" t="s">
        <v>463</v>
      </c>
      <c r="G95" s="20"/>
      <c r="H95" s="20"/>
      <c r="I95" s="20"/>
      <c r="J95" s="21"/>
      <c r="K95" s="22"/>
      <c r="L95" s="23"/>
      <c r="M95" s="24" t="str">
        <f aca="false">IF(L95="","",L95*$C$2)</f>
        <v/>
      </c>
      <c r="N95" s="18" t="s">
        <v>444</v>
      </c>
      <c r="O95" s="25" t="n">
        <v>0.3</v>
      </c>
      <c r="P95" s="26" t="n">
        <v>2</v>
      </c>
      <c r="Q95" s="27" t="n">
        <v>0.05</v>
      </c>
      <c r="R95" s="18" t="s">
        <v>707</v>
      </c>
      <c r="S95" s="20" t="s">
        <v>395</v>
      </c>
      <c r="T95" s="20" t="s">
        <v>417</v>
      </c>
      <c r="U95" s="24" t="str">
        <f aca="false">IF(OR(O95="",M95="",J95=""),"",IF(OR(D95="Coverage",D95="Thickness"),M95/J95*O95*IF(P95="",1,P95)*(1+IF(Q95="",0,Q95)),IF(O95=0,"",M95/O95*IF(P95="",1,P95)*(1+IF(Q95="",0,Q95)))))</f>
        <v/>
      </c>
      <c r="V95" s="28"/>
    </row>
    <row r="96" customFormat="false" ht="15" hidden="false" customHeight="false" outlineLevel="0" collapsed="false">
      <c r="A96" s="8" t="n">
        <v>91</v>
      </c>
      <c r="B96" s="8" t="s">
        <v>144</v>
      </c>
      <c r="C96" s="8" t="s">
        <v>43</v>
      </c>
      <c r="D96" s="8" t="s">
        <v>44</v>
      </c>
      <c r="E96" s="5" t="s">
        <v>708</v>
      </c>
      <c r="F96" s="9" t="s">
        <v>398</v>
      </c>
      <c r="G96" s="10" t="s">
        <v>399</v>
      </c>
      <c r="H96" s="10" t="s">
        <v>391</v>
      </c>
      <c r="I96" s="10" t="n">
        <v>1</v>
      </c>
      <c r="J96" s="11" t="n">
        <v>25</v>
      </c>
      <c r="K96" s="10" t="s">
        <v>392</v>
      </c>
      <c r="L96" s="12" t="n">
        <v>308.75</v>
      </c>
      <c r="M96" s="13" t="n">
        <f aca="false">IF(L96="","",L96*$C$2)</f>
        <v>336.5375</v>
      </c>
      <c r="N96" s="5" t="s">
        <v>709</v>
      </c>
      <c r="O96" s="11" t="n">
        <v>0.15</v>
      </c>
      <c r="P96" s="14" t="n">
        <v>1</v>
      </c>
      <c r="Q96" s="15" t="n">
        <v>0.05</v>
      </c>
      <c r="R96" s="5" t="s">
        <v>710</v>
      </c>
      <c r="S96" s="10" t="s">
        <v>395</v>
      </c>
      <c r="T96" s="10" t="s">
        <v>396</v>
      </c>
      <c r="U96" s="13" t="n">
        <f aca="false">IF(OR(O96="",M96="",J96=""),"",IF(OR(D96="Coverage",D96="Thickness"),M96/J96*O96*IF(P96="",1,P96)*(1+IF(Q96="",0,Q96)),IF(O96=0,"",M96/O96*IF(P96="",1,P96)*(1+IF(Q96="",0,Q96)))))</f>
        <v>2.12018625</v>
      </c>
      <c r="V96" s="16" t="n">
        <v>50</v>
      </c>
    </row>
    <row r="97" customFormat="false" ht="23.85" hidden="false" customHeight="false" outlineLevel="0" collapsed="false">
      <c r="A97" s="8" t="n">
        <v>92</v>
      </c>
      <c r="B97" s="8" t="s">
        <v>144</v>
      </c>
      <c r="C97" s="8" t="s">
        <v>43</v>
      </c>
      <c r="D97" s="8" t="s">
        <v>44</v>
      </c>
      <c r="E97" s="5" t="s">
        <v>711</v>
      </c>
      <c r="F97" s="9" t="s">
        <v>712</v>
      </c>
      <c r="G97" s="10"/>
      <c r="H97" s="10" t="s">
        <v>391</v>
      </c>
      <c r="I97" s="10" t="n">
        <v>1</v>
      </c>
      <c r="J97" s="11" t="n">
        <v>10</v>
      </c>
      <c r="K97" s="10" t="s">
        <v>392</v>
      </c>
      <c r="L97" s="12" t="n">
        <v>120</v>
      </c>
      <c r="M97" s="13" t="n">
        <f aca="false">IF(L97="","",L97*$C$2)</f>
        <v>130.8</v>
      </c>
      <c r="N97" s="5" t="s">
        <v>393</v>
      </c>
      <c r="O97" s="11" t="n">
        <v>0.25</v>
      </c>
      <c r="P97" s="14" t="n">
        <v>1</v>
      </c>
      <c r="Q97" s="15" t="n">
        <v>0.05</v>
      </c>
      <c r="R97" s="5"/>
      <c r="S97" s="10" t="s">
        <v>395</v>
      </c>
      <c r="T97" s="10" t="s">
        <v>396</v>
      </c>
      <c r="U97" s="13" t="n">
        <f aca="false">IF(OR(O97="",M97="",J97=""),"",IF(OR(D97="Coverage",D97="Thickness"),M97/J97*O97*IF(P97="",1,P97)*(1+IF(Q97="",0,Q97)),IF(O97=0,"",M97/O97*IF(P97="",1,P97)*(1+IF(Q97="",0,Q97)))))</f>
        <v>3.4335</v>
      </c>
      <c r="V97" s="16" t="n">
        <v>0</v>
      </c>
    </row>
    <row r="98" customFormat="false" ht="15" hidden="false" customHeight="false" outlineLevel="0" collapsed="false">
      <c r="A98" s="8" t="n">
        <v>93</v>
      </c>
      <c r="B98" s="8" t="s">
        <v>144</v>
      </c>
      <c r="C98" s="8" t="s">
        <v>43</v>
      </c>
      <c r="D98" s="8" t="s">
        <v>44</v>
      </c>
      <c r="E98" s="5" t="s">
        <v>713</v>
      </c>
      <c r="F98" s="9" t="s">
        <v>714</v>
      </c>
      <c r="G98" s="10" t="s">
        <v>715</v>
      </c>
      <c r="H98" s="10" t="s">
        <v>391</v>
      </c>
      <c r="I98" s="10" t="n">
        <v>1</v>
      </c>
      <c r="J98" s="11" t="n">
        <v>10</v>
      </c>
      <c r="K98" s="10" t="s">
        <v>392</v>
      </c>
      <c r="L98" s="12" t="n">
        <v>175.5</v>
      </c>
      <c r="M98" s="13" t="n">
        <f aca="false">IF(L98="","",L98*$C$2)</f>
        <v>191.295</v>
      </c>
      <c r="N98" s="5" t="s">
        <v>393</v>
      </c>
      <c r="O98" s="11" t="n">
        <v>0.25</v>
      </c>
      <c r="P98" s="14" t="n">
        <v>1</v>
      </c>
      <c r="Q98" s="15" t="n">
        <v>0.05</v>
      </c>
      <c r="R98" s="5"/>
      <c r="S98" s="10" t="s">
        <v>395</v>
      </c>
      <c r="T98" s="10" t="s">
        <v>409</v>
      </c>
      <c r="U98" s="13" t="n">
        <f aca="false">IF(OR(O98="",M98="",J98=""),"",IF(OR(D98="Coverage",D98="Thickness"),M98/J98*O98*IF(P98="",1,P98)*(1+IF(Q98="",0,Q98)),IF(O98=0,"",M98/O98*IF(P98="",1,P98)*(1+IF(Q98="",0,Q98)))))</f>
        <v>5.02149375</v>
      </c>
      <c r="V98" s="16" t="n">
        <v>0</v>
      </c>
    </row>
    <row r="99" customFormat="false" ht="15" hidden="false" customHeight="false" outlineLevel="0" collapsed="false">
      <c r="A99" s="8" t="n">
        <v>94</v>
      </c>
      <c r="B99" s="8" t="s">
        <v>144</v>
      </c>
      <c r="C99" s="8" t="s">
        <v>716</v>
      </c>
      <c r="D99" s="8" t="s">
        <v>73</v>
      </c>
      <c r="E99" s="5" t="s">
        <v>717</v>
      </c>
      <c r="F99" s="9" t="s">
        <v>718</v>
      </c>
      <c r="G99" s="10" t="s">
        <v>719</v>
      </c>
      <c r="H99" s="10" t="s">
        <v>391</v>
      </c>
      <c r="I99" s="10" t="n">
        <v>1</v>
      </c>
      <c r="J99" s="11" t="n">
        <v>23</v>
      </c>
      <c r="K99" s="10" t="s">
        <v>392</v>
      </c>
      <c r="L99" s="12" t="n">
        <v>91.31</v>
      </c>
      <c r="M99" s="13" t="n">
        <f aca="false">IF(L99="","",L99*$C$2)</f>
        <v>99.5279</v>
      </c>
      <c r="N99" s="5" t="s">
        <v>431</v>
      </c>
      <c r="O99" s="11" t="n">
        <v>1.6</v>
      </c>
      <c r="P99" s="14" t="n">
        <v>5</v>
      </c>
      <c r="Q99" s="15" t="n">
        <v>0.05</v>
      </c>
      <c r="R99" s="5" t="s">
        <v>720</v>
      </c>
      <c r="S99" s="10" t="s">
        <v>395</v>
      </c>
      <c r="T99" s="10" t="s">
        <v>396</v>
      </c>
      <c r="U99" s="13" t="n">
        <f aca="false">IF(OR(O99="",M99="",J99=""),"",IF(OR(D99="Coverage",D99="Thickness"),M99/J99*O99*IF(P99="",1,P99)*(1+IF(Q99="",0,Q99)),IF(O99=0,"",M99/O99*IF(P99="",1,P99)*(1+IF(Q99="",0,Q99)))))</f>
        <v>36.34932</v>
      </c>
      <c r="V99" s="16" t="n">
        <v>341</v>
      </c>
    </row>
    <row r="100" customFormat="false" ht="15" hidden="false" customHeight="false" outlineLevel="0" collapsed="false">
      <c r="A100" s="8" t="n">
        <v>95</v>
      </c>
      <c r="B100" s="8" t="s">
        <v>144</v>
      </c>
      <c r="C100" s="8" t="s">
        <v>716</v>
      </c>
      <c r="D100" s="8" t="s">
        <v>73</v>
      </c>
      <c r="E100" s="5" t="s">
        <v>721</v>
      </c>
      <c r="F100" s="9" t="s">
        <v>722</v>
      </c>
      <c r="G100" s="10" t="s">
        <v>723</v>
      </c>
      <c r="H100" s="10" t="s">
        <v>391</v>
      </c>
      <c r="I100" s="10" t="n">
        <v>1</v>
      </c>
      <c r="J100" s="11" t="n">
        <v>23</v>
      </c>
      <c r="K100" s="10" t="s">
        <v>392</v>
      </c>
      <c r="L100" s="12" t="n">
        <v>47.84</v>
      </c>
      <c r="M100" s="13" t="n">
        <f aca="false">IF(L100="","",L100*$C$2)</f>
        <v>52.1456</v>
      </c>
      <c r="N100" s="5" t="s">
        <v>431</v>
      </c>
      <c r="O100" s="11" t="n">
        <v>1.6</v>
      </c>
      <c r="P100" s="14" t="n">
        <v>5</v>
      </c>
      <c r="Q100" s="15" t="n">
        <v>0.05</v>
      </c>
      <c r="R100" s="5" t="s">
        <v>724</v>
      </c>
      <c r="S100" s="10" t="s">
        <v>395</v>
      </c>
      <c r="T100" s="10" t="s">
        <v>396</v>
      </c>
      <c r="U100" s="13" t="n">
        <f aca="false">IF(OR(O100="",M100="",J100=""),"",IF(OR(D100="Coverage",D100="Thickness"),M100/J100*O100*IF(P100="",1,P100)*(1+IF(Q100="",0,Q100)),IF(O100=0,"",M100/O100*IF(P100="",1,P100)*(1+IF(Q100="",0,Q100)))))</f>
        <v>19.04448</v>
      </c>
      <c r="V100" s="16" t="n">
        <v>1788</v>
      </c>
    </row>
    <row r="101" customFormat="false" ht="15" hidden="false" customHeight="false" outlineLevel="0" collapsed="false">
      <c r="A101" s="8" t="n">
        <v>96</v>
      </c>
      <c r="B101" s="8" t="s">
        <v>144</v>
      </c>
      <c r="C101" s="8" t="s">
        <v>716</v>
      </c>
      <c r="D101" s="8" t="s">
        <v>73</v>
      </c>
      <c r="E101" s="5" t="s">
        <v>725</v>
      </c>
      <c r="F101" s="9" t="s">
        <v>726</v>
      </c>
      <c r="G101" s="10" t="s">
        <v>727</v>
      </c>
      <c r="H101" s="10" t="s">
        <v>391</v>
      </c>
      <c r="I101" s="10" t="n">
        <v>1</v>
      </c>
      <c r="J101" s="11" t="n">
        <v>23</v>
      </c>
      <c r="K101" s="10" t="s">
        <v>392</v>
      </c>
      <c r="L101" s="12" t="n">
        <v>67.39</v>
      </c>
      <c r="M101" s="13" t="n">
        <f aca="false">IF(L101="","",L101*$C$2)</f>
        <v>73.4551</v>
      </c>
      <c r="N101" s="5" t="s">
        <v>431</v>
      </c>
      <c r="O101" s="11" t="n">
        <v>1.6</v>
      </c>
      <c r="P101" s="14" t="n">
        <v>5</v>
      </c>
      <c r="Q101" s="15" t="n">
        <v>0.05</v>
      </c>
      <c r="R101" s="5" t="s">
        <v>724</v>
      </c>
      <c r="S101" s="10" t="s">
        <v>395</v>
      </c>
      <c r="T101" s="10" t="s">
        <v>396</v>
      </c>
      <c r="U101" s="13" t="n">
        <f aca="false">IF(OR(O101="",M101="",J101=""),"",IF(OR(D101="Coverage",D101="Thickness"),M101/J101*O101*IF(P101="",1,P101)*(1+IF(Q101="",0,Q101)),IF(O101=0,"",M101/O101*IF(P101="",1,P101)*(1+IF(Q101="",0,Q101)))))</f>
        <v>26.82708</v>
      </c>
      <c r="V101" s="16" t="n">
        <v>11</v>
      </c>
    </row>
    <row r="102" customFormat="false" ht="15" hidden="false" customHeight="false" outlineLevel="0" collapsed="false">
      <c r="A102" s="8" t="n">
        <v>97</v>
      </c>
      <c r="B102" s="8" t="s">
        <v>144</v>
      </c>
      <c r="C102" s="8" t="s">
        <v>716</v>
      </c>
      <c r="D102" s="8" t="s">
        <v>73</v>
      </c>
      <c r="E102" s="5" t="s">
        <v>728</v>
      </c>
      <c r="F102" s="9" t="s">
        <v>729</v>
      </c>
      <c r="G102" s="10" t="s">
        <v>730</v>
      </c>
      <c r="H102" s="10" t="s">
        <v>391</v>
      </c>
      <c r="I102" s="10" t="n">
        <v>1</v>
      </c>
      <c r="J102" s="11" t="n">
        <v>25</v>
      </c>
      <c r="K102" s="10" t="s">
        <v>392</v>
      </c>
      <c r="L102" s="12" t="n">
        <v>81.25</v>
      </c>
      <c r="M102" s="13" t="n">
        <f aca="false">IF(L102="","",L102*$C$2)</f>
        <v>88.5625</v>
      </c>
      <c r="N102" s="5" t="s">
        <v>431</v>
      </c>
      <c r="O102" s="11" t="n">
        <v>1.7</v>
      </c>
      <c r="P102" s="14" t="n">
        <v>10</v>
      </c>
      <c r="Q102" s="15" t="n">
        <v>0.05</v>
      </c>
      <c r="R102" s="5" t="s">
        <v>731</v>
      </c>
      <c r="S102" s="10" t="s">
        <v>395</v>
      </c>
      <c r="T102" s="10" t="s">
        <v>396</v>
      </c>
      <c r="U102" s="13" t="n">
        <f aca="false">IF(OR(O102="",M102="",J102=""),"",IF(OR(D102="Coverage",D102="Thickness"),M102/J102*O102*IF(P102="",1,P102)*(1+IF(Q102="",0,Q102)),IF(O102=0,"",M102/O102*IF(P102="",1,P102)*(1+IF(Q102="",0,Q102)))))</f>
        <v>63.233625</v>
      </c>
      <c r="V102" s="16" t="n">
        <v>189</v>
      </c>
    </row>
    <row r="103" customFormat="false" ht="15" hidden="false" customHeight="false" outlineLevel="0" collapsed="false">
      <c r="A103" s="8" t="n">
        <v>98</v>
      </c>
      <c r="B103" s="8" t="s">
        <v>144</v>
      </c>
      <c r="C103" s="8" t="s">
        <v>716</v>
      </c>
      <c r="D103" s="8" t="s">
        <v>73</v>
      </c>
      <c r="E103" s="5" t="s">
        <v>732</v>
      </c>
      <c r="F103" s="9" t="s">
        <v>733</v>
      </c>
      <c r="G103" s="10" t="s">
        <v>734</v>
      </c>
      <c r="H103" s="10" t="s">
        <v>391</v>
      </c>
      <c r="I103" s="10" t="n">
        <v>1</v>
      </c>
      <c r="J103" s="11" t="n">
        <v>25.25</v>
      </c>
      <c r="K103" s="10" t="s">
        <v>392</v>
      </c>
      <c r="L103" s="12" t="n">
        <v>118.17</v>
      </c>
      <c r="M103" s="13" t="n">
        <f aca="false">IF(L103="","",L103*$C$2)</f>
        <v>128.8053</v>
      </c>
      <c r="N103" s="5" t="s">
        <v>431</v>
      </c>
      <c r="O103" s="11" t="n">
        <v>1.7</v>
      </c>
      <c r="P103" s="14" t="n">
        <v>10</v>
      </c>
      <c r="Q103" s="15" t="n">
        <v>0.05</v>
      </c>
      <c r="R103" s="5" t="s">
        <v>735</v>
      </c>
      <c r="S103" s="10" t="s">
        <v>395</v>
      </c>
      <c r="T103" s="10" t="s">
        <v>409</v>
      </c>
      <c r="U103" s="13" t="n">
        <f aca="false">IF(OR(O103="",M103="",J103=""),"",IF(OR(D103="Coverage",D103="Thickness"),M103/J103*O103*IF(P103="",1,P103)*(1+IF(Q103="",0,Q103)),IF(O103=0,"",M103/O103*IF(P103="",1,P103)*(1+IF(Q103="",0,Q103)))))</f>
        <v>91.05642</v>
      </c>
      <c r="V103" s="16" t="n">
        <v>0</v>
      </c>
    </row>
    <row r="104" customFormat="false" ht="15" hidden="false" customHeight="false" outlineLevel="0" collapsed="false">
      <c r="A104" s="8" t="n">
        <v>99</v>
      </c>
      <c r="B104" s="8" t="s">
        <v>144</v>
      </c>
      <c r="C104" s="8" t="s">
        <v>716</v>
      </c>
      <c r="D104" s="8" t="s">
        <v>73</v>
      </c>
      <c r="E104" s="5" t="s">
        <v>736</v>
      </c>
      <c r="F104" s="9" t="s">
        <v>737</v>
      </c>
      <c r="G104" s="10" t="s">
        <v>738</v>
      </c>
      <c r="H104" s="10" t="s">
        <v>391</v>
      </c>
      <c r="I104" s="10" t="n">
        <v>1</v>
      </c>
      <c r="J104" s="11" t="n">
        <v>23</v>
      </c>
      <c r="K104" s="10" t="s">
        <v>392</v>
      </c>
      <c r="L104" s="12" t="n">
        <v>124.2</v>
      </c>
      <c r="M104" s="13" t="n">
        <f aca="false">IF(L104="","",L104*$C$2)</f>
        <v>135.378</v>
      </c>
      <c r="N104" s="5" t="s">
        <v>431</v>
      </c>
      <c r="O104" s="11" t="n">
        <v>1.6</v>
      </c>
      <c r="P104" s="14" t="n">
        <v>5</v>
      </c>
      <c r="Q104" s="15" t="n">
        <v>0.05</v>
      </c>
      <c r="R104" s="5"/>
      <c r="S104" s="10" t="s">
        <v>395</v>
      </c>
      <c r="T104" s="10" t="s">
        <v>409</v>
      </c>
      <c r="U104" s="13" t="n">
        <f aca="false">IF(OR(O104="",M104="",J104=""),"",IF(OR(D104="Coverage",D104="Thickness"),M104/J104*O104*IF(P104="",1,P104)*(1+IF(Q104="",0,Q104)),IF(O104=0,"",M104/O104*IF(P104="",1,P104)*(1+IF(Q104="",0,Q104)))))</f>
        <v>49.4424</v>
      </c>
      <c r="V104" s="16" t="n">
        <v>0</v>
      </c>
    </row>
    <row r="105" customFormat="false" ht="15" hidden="false" customHeight="false" outlineLevel="0" collapsed="false">
      <c r="A105" s="8" t="n">
        <v>100</v>
      </c>
      <c r="B105" s="8" t="s">
        <v>144</v>
      </c>
      <c r="C105" s="8" t="s">
        <v>716</v>
      </c>
      <c r="D105" s="8" t="s">
        <v>73</v>
      </c>
      <c r="E105" s="5" t="s">
        <v>739</v>
      </c>
      <c r="F105" s="9" t="s">
        <v>740</v>
      </c>
      <c r="G105" s="10" t="s">
        <v>741</v>
      </c>
      <c r="H105" s="10" t="s">
        <v>391</v>
      </c>
      <c r="I105" s="10" t="n">
        <v>1</v>
      </c>
      <c r="J105" s="11" t="n">
        <v>25</v>
      </c>
      <c r="K105" s="10" t="s">
        <v>392</v>
      </c>
      <c r="L105" s="12" t="n">
        <v>47.25</v>
      </c>
      <c r="M105" s="13" t="n">
        <f aca="false">IF(L105="","",L105*$C$2)</f>
        <v>51.5025</v>
      </c>
      <c r="N105" s="5" t="s">
        <v>431</v>
      </c>
      <c r="O105" s="11" t="n">
        <v>1.6</v>
      </c>
      <c r="P105" s="14" t="n">
        <v>5</v>
      </c>
      <c r="Q105" s="15" t="n">
        <v>0.05</v>
      </c>
      <c r="R105" s="5"/>
      <c r="S105" s="10" t="s">
        <v>395</v>
      </c>
      <c r="T105" s="10" t="s">
        <v>409</v>
      </c>
      <c r="U105" s="13" t="n">
        <f aca="false">IF(OR(O105="",M105="",J105=""),"",IF(OR(D105="Coverage",D105="Thickness"),M105/J105*O105*IF(P105="",1,P105)*(1+IF(Q105="",0,Q105)),IF(O105=0,"",M105/O105*IF(P105="",1,P105)*(1+IF(Q105="",0,Q105)))))</f>
        <v>17.30484</v>
      </c>
      <c r="V105" s="16" t="n">
        <v>168</v>
      </c>
    </row>
    <row r="106" customFormat="false" ht="15" hidden="false" customHeight="false" outlineLevel="0" collapsed="false">
      <c r="A106" s="8" t="n">
        <v>101</v>
      </c>
      <c r="B106" s="8" t="s">
        <v>144</v>
      </c>
      <c r="C106" s="8" t="s">
        <v>716</v>
      </c>
      <c r="D106" s="8" t="s">
        <v>73</v>
      </c>
      <c r="E106" s="5" t="s">
        <v>742</v>
      </c>
      <c r="F106" s="9" t="s">
        <v>743</v>
      </c>
      <c r="G106" s="10" t="s">
        <v>744</v>
      </c>
      <c r="H106" s="10" t="s">
        <v>391</v>
      </c>
      <c r="I106" s="10" t="n">
        <v>1</v>
      </c>
      <c r="J106" s="11" t="n">
        <v>25</v>
      </c>
      <c r="K106" s="10" t="s">
        <v>392</v>
      </c>
      <c r="L106" s="12" t="n">
        <v>53.75</v>
      </c>
      <c r="M106" s="13" t="n">
        <f aca="false">IF(L106="","",L106*$C$2)</f>
        <v>58.5875</v>
      </c>
      <c r="N106" s="5" t="s">
        <v>431</v>
      </c>
      <c r="O106" s="11" t="n">
        <v>1.6</v>
      </c>
      <c r="P106" s="14" t="n">
        <v>5</v>
      </c>
      <c r="Q106" s="15" t="n">
        <v>0.05</v>
      </c>
      <c r="R106" s="5"/>
      <c r="S106" s="10" t="s">
        <v>395</v>
      </c>
      <c r="T106" s="10" t="s">
        <v>409</v>
      </c>
      <c r="U106" s="13" t="n">
        <f aca="false">IF(OR(O106="",M106="",J106=""),"",IF(OR(D106="Coverage",D106="Thickness"),M106/J106*O106*IF(P106="",1,P106)*(1+IF(Q106="",0,Q106)),IF(O106=0,"",M106/O106*IF(P106="",1,P106)*(1+IF(Q106="",0,Q106)))))</f>
        <v>19.6854</v>
      </c>
      <c r="V106" s="16" t="n">
        <v>2</v>
      </c>
    </row>
    <row r="107" customFormat="false" ht="15" hidden="false" customHeight="false" outlineLevel="0" collapsed="false">
      <c r="A107" s="8" t="n">
        <v>102</v>
      </c>
      <c r="B107" s="8" t="s">
        <v>144</v>
      </c>
      <c r="C107" s="8" t="s">
        <v>716</v>
      </c>
      <c r="D107" s="8" t="s">
        <v>73</v>
      </c>
      <c r="E107" s="5" t="s">
        <v>745</v>
      </c>
      <c r="F107" s="9" t="s">
        <v>746</v>
      </c>
      <c r="G107" s="10" t="s">
        <v>747</v>
      </c>
      <c r="H107" s="10" t="s">
        <v>391</v>
      </c>
      <c r="I107" s="10" t="n">
        <v>1</v>
      </c>
      <c r="J107" s="11" t="n">
        <v>25</v>
      </c>
      <c r="K107" s="10" t="s">
        <v>392</v>
      </c>
      <c r="L107" s="12" t="n">
        <v>12.25</v>
      </c>
      <c r="M107" s="13" t="n">
        <f aca="false">IF(L107="","",L107*$C$2)</f>
        <v>13.3525</v>
      </c>
      <c r="N107" s="5" t="s">
        <v>431</v>
      </c>
      <c r="O107" s="11" t="n">
        <v>1.4</v>
      </c>
      <c r="P107" s="14" t="n">
        <v>10</v>
      </c>
      <c r="Q107" s="15" t="n">
        <v>0.05</v>
      </c>
      <c r="R107" s="5" t="s">
        <v>735</v>
      </c>
      <c r="S107" s="10" t="s">
        <v>395</v>
      </c>
      <c r="T107" s="10" t="s">
        <v>409</v>
      </c>
      <c r="U107" s="13" t="n">
        <f aca="false">IF(OR(O107="",M107="",J107=""),"",IF(OR(D107="Coverage",D107="Thickness"),M107/J107*O107*IF(P107="",1,P107)*(1+IF(Q107="",0,Q107)),IF(O107=0,"",M107/O107*IF(P107="",1,P107)*(1+IF(Q107="",0,Q107)))))</f>
        <v>7.85127</v>
      </c>
      <c r="V107" s="16" t="n">
        <v>119</v>
      </c>
    </row>
    <row r="108" customFormat="false" ht="15" hidden="false" customHeight="false" outlineLevel="0" collapsed="false">
      <c r="A108" s="8" t="n">
        <v>103</v>
      </c>
      <c r="B108" s="8" t="s">
        <v>144</v>
      </c>
      <c r="C108" s="8" t="s">
        <v>716</v>
      </c>
      <c r="D108" s="8" t="s">
        <v>73</v>
      </c>
      <c r="E108" s="5" t="s">
        <v>748</v>
      </c>
      <c r="F108" s="9" t="s">
        <v>749</v>
      </c>
      <c r="G108" s="10" t="s">
        <v>750</v>
      </c>
      <c r="H108" s="10" t="s">
        <v>391</v>
      </c>
      <c r="I108" s="10" t="n">
        <v>1</v>
      </c>
      <c r="J108" s="11" t="n">
        <v>25</v>
      </c>
      <c r="K108" s="10" t="s">
        <v>392</v>
      </c>
      <c r="L108" s="12" t="n">
        <v>87</v>
      </c>
      <c r="M108" s="13" t="n">
        <f aca="false">IF(L108="","",L108*$C$2)</f>
        <v>94.83</v>
      </c>
      <c r="N108" s="5" t="s">
        <v>431</v>
      </c>
      <c r="O108" s="11" t="n">
        <v>1.4</v>
      </c>
      <c r="P108" s="14" t="n">
        <v>10</v>
      </c>
      <c r="Q108" s="15" t="n">
        <v>0.05</v>
      </c>
      <c r="R108" s="5" t="s">
        <v>735</v>
      </c>
      <c r="S108" s="10" t="s">
        <v>395</v>
      </c>
      <c r="T108" s="10" t="s">
        <v>409</v>
      </c>
      <c r="U108" s="13" t="n">
        <f aca="false">IF(OR(O108="",M108="",J108=""),"",IF(OR(D108="Coverage",D108="Thickness"),M108/J108*O108*IF(P108="",1,P108)*(1+IF(Q108="",0,Q108)),IF(O108=0,"",M108/O108*IF(P108="",1,P108)*(1+IF(Q108="",0,Q108)))))</f>
        <v>55.76004</v>
      </c>
      <c r="V108" s="16" t="n">
        <v>57</v>
      </c>
    </row>
    <row r="109" customFormat="false" ht="23.85" hidden="false" customHeight="false" outlineLevel="0" collapsed="false">
      <c r="A109" s="8" t="n">
        <v>104</v>
      </c>
      <c r="B109" s="8" t="s">
        <v>144</v>
      </c>
      <c r="C109" s="8" t="s">
        <v>751</v>
      </c>
      <c r="D109" s="8" t="s">
        <v>73</v>
      </c>
      <c r="E109" s="5" t="s">
        <v>752</v>
      </c>
      <c r="F109" s="9" t="s">
        <v>753</v>
      </c>
      <c r="G109" s="10" t="s">
        <v>754</v>
      </c>
      <c r="H109" s="10" t="s">
        <v>391</v>
      </c>
      <c r="I109" s="10" t="n">
        <v>1</v>
      </c>
      <c r="J109" s="11" t="n">
        <v>20</v>
      </c>
      <c r="K109" s="10" t="s">
        <v>392</v>
      </c>
      <c r="L109" s="12" t="n">
        <v>27</v>
      </c>
      <c r="M109" s="13" t="n">
        <f aca="false">IF(L109="","",L109*$C$2)</f>
        <v>29.43</v>
      </c>
      <c r="N109" s="5" t="s">
        <v>755</v>
      </c>
      <c r="O109" s="11" t="n">
        <v>2.5</v>
      </c>
      <c r="P109" s="14" t="n">
        <v>10</v>
      </c>
      <c r="Q109" s="15" t="n">
        <v>0.05</v>
      </c>
      <c r="R109" s="5" t="s">
        <v>756</v>
      </c>
      <c r="S109" s="10" t="s">
        <v>395</v>
      </c>
      <c r="T109" s="10" t="s">
        <v>396</v>
      </c>
      <c r="U109" s="13" t="n">
        <f aca="false">IF(OR(O109="",M109="",J109=""),"",IF(OR(D109="Coverage",D109="Thickness"),M109/J109*O109*IF(P109="",1,P109)*(1+IF(Q109="",0,Q109)),IF(O109=0,"",M109/O109*IF(P109="",1,P109)*(1+IF(Q109="",0,Q109)))))</f>
        <v>38.626875</v>
      </c>
      <c r="V109" s="16" t="n">
        <v>685</v>
      </c>
    </row>
    <row r="110" customFormat="false" ht="23.85" hidden="false" customHeight="false" outlineLevel="0" collapsed="false">
      <c r="A110" s="8" t="n">
        <v>105</v>
      </c>
      <c r="B110" s="8" t="s">
        <v>144</v>
      </c>
      <c r="C110" s="8" t="s">
        <v>751</v>
      </c>
      <c r="D110" s="8" t="s">
        <v>73</v>
      </c>
      <c r="E110" s="5" t="s">
        <v>757</v>
      </c>
      <c r="F110" s="9" t="s">
        <v>758</v>
      </c>
      <c r="G110" s="10" t="s">
        <v>759</v>
      </c>
      <c r="H110" s="10" t="s">
        <v>391</v>
      </c>
      <c r="I110" s="10" t="n">
        <v>1</v>
      </c>
      <c r="J110" s="11" t="n">
        <v>25</v>
      </c>
      <c r="K110" s="10" t="s">
        <v>392</v>
      </c>
      <c r="L110" s="12" t="n">
        <v>19.25</v>
      </c>
      <c r="M110" s="13" t="n">
        <f aca="false">IF(L110="","",L110*$C$2)</f>
        <v>20.9825</v>
      </c>
      <c r="N110" s="5" t="s">
        <v>760</v>
      </c>
      <c r="O110" s="11" t="n">
        <v>20</v>
      </c>
      <c r="P110" s="14" t="n">
        <v>5</v>
      </c>
      <c r="Q110" s="15" t="n">
        <v>0.05</v>
      </c>
      <c r="R110" s="5" t="s">
        <v>761</v>
      </c>
      <c r="S110" s="10" t="s">
        <v>395</v>
      </c>
      <c r="T110" s="10" t="s">
        <v>396</v>
      </c>
      <c r="U110" s="13" t="n">
        <f aca="false">IF(OR(O110="",M110="",J110=""),"",IF(OR(D110="Coverage",D110="Thickness"),M110/J110*O110*IF(P110="",1,P110)*(1+IF(Q110="",0,Q110)),IF(O110=0,"",M110/O110*IF(P110="",1,P110)*(1+IF(Q110="",0,Q110)))))</f>
        <v>88.1265</v>
      </c>
      <c r="V110" s="16" t="n">
        <v>281</v>
      </c>
    </row>
    <row r="111" customFormat="false" ht="15" hidden="false" customHeight="false" outlineLevel="0" collapsed="false">
      <c r="A111" s="8" t="n">
        <v>106</v>
      </c>
      <c r="B111" s="8" t="s">
        <v>144</v>
      </c>
      <c r="C111" s="8" t="s">
        <v>751</v>
      </c>
      <c r="D111" s="8" t="s">
        <v>73</v>
      </c>
      <c r="E111" s="5" t="s">
        <v>762</v>
      </c>
      <c r="F111" s="9" t="s">
        <v>763</v>
      </c>
      <c r="G111" s="10"/>
      <c r="H111" s="10" t="s">
        <v>511</v>
      </c>
      <c r="I111" s="10" t="n">
        <v>1</v>
      </c>
      <c r="J111" s="11" t="n">
        <v>50</v>
      </c>
      <c r="K111" s="10" t="s">
        <v>392</v>
      </c>
      <c r="L111" s="12" t="n">
        <v>14.5</v>
      </c>
      <c r="M111" s="13" t="n">
        <f aca="false">IF(L111="","",L111*$C$2)</f>
        <v>15.805</v>
      </c>
      <c r="N111" s="5" t="s">
        <v>760</v>
      </c>
      <c r="O111" s="11" t="n">
        <v>20</v>
      </c>
      <c r="P111" s="14" t="n">
        <v>5</v>
      </c>
      <c r="Q111" s="15" t="n">
        <v>0.05</v>
      </c>
      <c r="R111" s="5" t="s">
        <v>764</v>
      </c>
      <c r="S111" s="10" t="s">
        <v>395</v>
      </c>
      <c r="T111" s="10" t="s">
        <v>409</v>
      </c>
      <c r="U111" s="13" t="n">
        <f aca="false">IF(OR(O111="",M111="",J111=""),"",IF(OR(D111="Coverage",D111="Thickness"),M111/J111*O111*IF(P111="",1,P111)*(1+IF(Q111="",0,Q111)),IF(O111=0,"",M111/O111*IF(P111="",1,P111)*(1+IF(Q111="",0,Q111)))))</f>
        <v>33.1905</v>
      </c>
      <c r="V111" s="16" t="n">
        <v>1</v>
      </c>
    </row>
    <row r="112" customFormat="false" ht="15" hidden="false" customHeight="false" outlineLevel="0" collapsed="false">
      <c r="A112" s="8" t="n">
        <v>107</v>
      </c>
      <c r="B112" s="8" t="s">
        <v>144</v>
      </c>
      <c r="C112" s="8" t="s">
        <v>751</v>
      </c>
      <c r="D112" s="8" t="s">
        <v>73</v>
      </c>
      <c r="E112" s="5" t="s">
        <v>765</v>
      </c>
      <c r="F112" s="9" t="s">
        <v>766</v>
      </c>
      <c r="G112" s="10" t="s">
        <v>767</v>
      </c>
      <c r="H112" s="10"/>
      <c r="I112" s="10" t="n">
        <v>1</v>
      </c>
      <c r="J112" s="11" t="n">
        <v>50</v>
      </c>
      <c r="K112" s="10" t="s">
        <v>392</v>
      </c>
      <c r="L112" s="12" t="n">
        <v>14.25</v>
      </c>
      <c r="M112" s="13" t="n">
        <f aca="false">IF(L112="","",L112*$C$2)</f>
        <v>15.5325</v>
      </c>
      <c r="N112" s="5" t="s">
        <v>760</v>
      </c>
      <c r="O112" s="11" t="n">
        <v>20</v>
      </c>
      <c r="P112" s="14" t="n">
        <v>5</v>
      </c>
      <c r="Q112" s="15" t="n">
        <v>0.05</v>
      </c>
      <c r="R112" s="5" t="s">
        <v>764</v>
      </c>
      <c r="S112" s="10" t="s">
        <v>395</v>
      </c>
      <c r="T112" s="10" t="s">
        <v>409</v>
      </c>
      <c r="U112" s="13" t="n">
        <f aca="false">IF(OR(O112="",M112="",J112=""),"",IF(OR(D112="Coverage",D112="Thickness"),M112/J112*O112*IF(P112="",1,P112)*(1+IF(Q112="",0,Q112)),IF(O112=0,"",M112/O112*IF(P112="",1,P112)*(1+IF(Q112="",0,Q112)))))</f>
        <v>32.61825</v>
      </c>
      <c r="V112" s="16" t="n">
        <v>8</v>
      </c>
    </row>
    <row r="113" customFormat="false" ht="15" hidden="false" customHeight="false" outlineLevel="0" collapsed="false">
      <c r="A113" s="8" t="n">
        <v>108</v>
      </c>
      <c r="B113" s="8" t="s">
        <v>144</v>
      </c>
      <c r="C113" s="8" t="s">
        <v>751</v>
      </c>
      <c r="D113" s="8" t="s">
        <v>73</v>
      </c>
      <c r="E113" s="5" t="s">
        <v>768</v>
      </c>
      <c r="F113" s="9" t="s">
        <v>769</v>
      </c>
      <c r="G113" s="10" t="s">
        <v>770</v>
      </c>
      <c r="H113" s="10" t="s">
        <v>771</v>
      </c>
      <c r="I113" s="10" t="n">
        <v>1</v>
      </c>
      <c r="J113" s="11" t="n">
        <v>1000</v>
      </c>
      <c r="K113" s="10" t="s">
        <v>392</v>
      </c>
      <c r="L113" s="12" t="n">
        <v>275</v>
      </c>
      <c r="M113" s="13" t="n">
        <f aca="false">IF(L113="","",L113*$C$2)</f>
        <v>299.75</v>
      </c>
      <c r="N113" s="5" t="s">
        <v>760</v>
      </c>
      <c r="O113" s="11" t="n">
        <v>20</v>
      </c>
      <c r="P113" s="14" t="n">
        <v>5</v>
      </c>
      <c r="Q113" s="15" t="n">
        <v>0.05</v>
      </c>
      <c r="R113" s="5" t="s">
        <v>764</v>
      </c>
      <c r="S113" s="10" t="s">
        <v>395</v>
      </c>
      <c r="T113" s="10" t="s">
        <v>409</v>
      </c>
      <c r="U113" s="13" t="n">
        <f aca="false">IF(OR(O113="",M113="",J113=""),"",IF(OR(D113="Coverage",D113="Thickness"),M113/J113*O113*IF(P113="",1,P113)*(1+IF(Q113="",0,Q113)),IF(O113=0,"",M113/O113*IF(P113="",1,P113)*(1+IF(Q113="",0,Q113)))))</f>
        <v>31.47375</v>
      </c>
      <c r="V113" s="16" t="n">
        <v>0</v>
      </c>
    </row>
    <row r="114" customFormat="false" ht="15" hidden="false" customHeight="false" outlineLevel="0" collapsed="false">
      <c r="A114" s="8" t="n">
        <v>109</v>
      </c>
      <c r="B114" s="8" t="s">
        <v>144</v>
      </c>
      <c r="C114" s="8" t="s">
        <v>772</v>
      </c>
      <c r="D114" s="8" t="s">
        <v>44</v>
      </c>
      <c r="E114" s="5" t="s">
        <v>773</v>
      </c>
      <c r="F114" s="9" t="s">
        <v>774</v>
      </c>
      <c r="G114" s="10" t="s">
        <v>775</v>
      </c>
      <c r="H114" s="10" t="s">
        <v>391</v>
      </c>
      <c r="I114" s="10" t="n">
        <v>1</v>
      </c>
      <c r="J114" s="11" t="n">
        <v>10</v>
      </c>
      <c r="K114" s="10" t="s">
        <v>392</v>
      </c>
      <c r="L114" s="12" t="n">
        <v>175.5</v>
      </c>
      <c r="M114" s="13" t="n">
        <f aca="false">IF(L114="","",L114*$C$2)</f>
        <v>191.295</v>
      </c>
      <c r="N114" s="5" t="s">
        <v>776</v>
      </c>
      <c r="O114" s="29" t="n">
        <v>5</v>
      </c>
      <c r="P114" s="30" t="n">
        <v>1</v>
      </c>
      <c r="Q114" s="31" t="n">
        <v>0</v>
      </c>
      <c r="R114" s="5" t="s">
        <v>777</v>
      </c>
      <c r="S114" s="10" t="s">
        <v>395</v>
      </c>
      <c r="T114" s="32" t="s">
        <v>417</v>
      </c>
      <c r="U114" s="13" t="n">
        <f aca="false">IF(OR(O114="",M114="",J114=""),"",IF(OR(D114="Coverage",D114="Thickness"),M114/J114*O114*IF(P114="",1,P114)*(1+IF(Q114="",0,Q114)),IF(O114=0,"",M114/O114*IF(P114="",1,P114)*(1+IF(Q114="",0,Q114)))))</f>
        <v>95.6475</v>
      </c>
      <c r="V114" s="16" t="n">
        <v>12</v>
      </c>
    </row>
    <row r="115" customFormat="false" ht="15" hidden="false" customHeight="false" outlineLevel="0" collapsed="false">
      <c r="A115" s="8" t="n">
        <v>110</v>
      </c>
      <c r="B115" s="8" t="s">
        <v>144</v>
      </c>
      <c r="C115" s="8" t="s">
        <v>772</v>
      </c>
      <c r="D115" s="8" t="s">
        <v>44</v>
      </c>
      <c r="E115" s="5" t="s">
        <v>778</v>
      </c>
      <c r="F115" s="9" t="s">
        <v>779</v>
      </c>
      <c r="G115" s="10" t="s">
        <v>780</v>
      </c>
      <c r="H115" s="10" t="s">
        <v>391</v>
      </c>
      <c r="I115" s="10" t="n">
        <v>1</v>
      </c>
      <c r="J115" s="11" t="n">
        <v>25</v>
      </c>
      <c r="K115" s="10" t="s">
        <v>392</v>
      </c>
      <c r="L115" s="12" t="n">
        <v>321.75</v>
      </c>
      <c r="M115" s="13" t="n">
        <f aca="false">IF(L115="","",L115*$C$2)</f>
        <v>350.7075</v>
      </c>
      <c r="N115" s="5" t="s">
        <v>776</v>
      </c>
      <c r="O115" s="29" t="n">
        <v>2.5</v>
      </c>
      <c r="P115" s="30" t="n">
        <v>1</v>
      </c>
      <c r="Q115" s="31" t="n">
        <v>0</v>
      </c>
      <c r="R115" s="5" t="s">
        <v>777</v>
      </c>
      <c r="S115" s="10" t="s">
        <v>395</v>
      </c>
      <c r="T115" s="32" t="s">
        <v>417</v>
      </c>
      <c r="U115" s="13" t="n">
        <f aca="false">IF(OR(O115="",M115="",J115=""),"",IF(OR(D115="Coverage",D115="Thickness"),M115/J115*O115*IF(P115="",1,P115)*(1+IF(Q115="",0,Q115)),IF(O115=0,"",M115/O115*IF(P115="",1,P115)*(1+IF(Q115="",0,Q115)))))</f>
        <v>35.07075</v>
      </c>
      <c r="V115" s="16" t="n">
        <v>14</v>
      </c>
    </row>
    <row r="116" customFormat="false" ht="15" hidden="false" customHeight="false" outlineLevel="0" collapsed="false">
      <c r="A116" s="8" t="n">
        <v>111</v>
      </c>
      <c r="B116" s="8" t="s">
        <v>144</v>
      </c>
      <c r="C116" s="8" t="s">
        <v>519</v>
      </c>
      <c r="D116" s="8" t="s">
        <v>44</v>
      </c>
      <c r="E116" s="5" t="s">
        <v>781</v>
      </c>
      <c r="F116" s="9" t="s">
        <v>782</v>
      </c>
      <c r="G116" s="10" t="s">
        <v>783</v>
      </c>
      <c r="H116" s="10" t="s">
        <v>391</v>
      </c>
      <c r="I116" s="10" t="n">
        <v>1</v>
      </c>
      <c r="J116" s="11" t="n">
        <v>5</v>
      </c>
      <c r="K116" s="10" t="s">
        <v>392</v>
      </c>
      <c r="L116" s="12" t="n">
        <v>47.25</v>
      </c>
      <c r="M116" s="13" t="n">
        <f aca="false">IF(L116="","",L116*$C$2)</f>
        <v>51.5025</v>
      </c>
      <c r="N116" s="5" t="s">
        <v>784</v>
      </c>
      <c r="O116" s="11" t="n">
        <v>0.15</v>
      </c>
      <c r="P116" s="14" t="n">
        <v>1</v>
      </c>
      <c r="Q116" s="15" t="n">
        <v>0.05</v>
      </c>
      <c r="R116" s="5" t="s">
        <v>785</v>
      </c>
      <c r="S116" s="10" t="s">
        <v>395</v>
      </c>
      <c r="T116" s="10" t="s">
        <v>409</v>
      </c>
      <c r="U116" s="13" t="n">
        <f aca="false">IF(OR(O116="",M116="",J116=""),"",IF(OR(D116="Coverage",D116="Thickness"),M116/J116*O116*IF(P116="",1,P116)*(1+IF(Q116="",0,Q116)),IF(O116=0,"",M116/O116*IF(P116="",1,P116)*(1+IF(Q116="",0,Q116)))))</f>
        <v>1.62232875</v>
      </c>
      <c r="V116" s="16" t="n">
        <v>51</v>
      </c>
    </row>
    <row r="117" customFormat="false" ht="23.85" hidden="false" customHeight="false" outlineLevel="0" collapsed="false">
      <c r="A117" s="8" t="n">
        <v>112</v>
      </c>
      <c r="B117" s="8" t="s">
        <v>180</v>
      </c>
      <c r="C117" s="8" t="s">
        <v>786</v>
      </c>
      <c r="D117" s="8" t="s">
        <v>44</v>
      </c>
      <c r="E117" s="5" t="s">
        <v>787</v>
      </c>
      <c r="F117" s="9" t="s">
        <v>788</v>
      </c>
      <c r="G117" s="10" t="s">
        <v>789</v>
      </c>
      <c r="H117" s="10" t="s">
        <v>391</v>
      </c>
      <c r="I117" s="10" t="n">
        <v>1</v>
      </c>
      <c r="J117" s="11" t="n">
        <v>25</v>
      </c>
      <c r="K117" s="10" t="s">
        <v>392</v>
      </c>
      <c r="L117" s="12" t="n">
        <v>50.75</v>
      </c>
      <c r="M117" s="13" t="n">
        <f aca="false">IF(L117="","",L117*$C$2)</f>
        <v>55.3175</v>
      </c>
      <c r="N117" s="5" t="s">
        <v>790</v>
      </c>
      <c r="O117" s="11" t="n">
        <v>6</v>
      </c>
      <c r="P117" s="14" t="n">
        <v>1</v>
      </c>
      <c r="Q117" s="15" t="n">
        <v>0.05</v>
      </c>
      <c r="R117" s="5" t="s">
        <v>791</v>
      </c>
      <c r="S117" s="10" t="s">
        <v>395</v>
      </c>
      <c r="T117" s="10" t="s">
        <v>396</v>
      </c>
      <c r="U117" s="13" t="n">
        <f aca="false">IF(OR(O117="",M117="",J117=""),"",IF(OR(D117="Coverage",D117="Thickness"),M117/J117*O117*IF(P117="",1,P117)*(1+IF(Q117="",0,Q117)),IF(O117=0,"",M117/O117*IF(P117="",1,P117)*(1+IF(Q117="",0,Q117)))))</f>
        <v>13.94001</v>
      </c>
      <c r="V117" s="16" t="n">
        <v>1220</v>
      </c>
    </row>
    <row r="118" customFormat="false" ht="15" hidden="false" customHeight="false" outlineLevel="0" collapsed="false">
      <c r="A118" s="8" t="n">
        <v>113</v>
      </c>
      <c r="B118" s="8" t="s">
        <v>180</v>
      </c>
      <c r="C118" s="8" t="s">
        <v>786</v>
      </c>
      <c r="D118" s="8" t="s">
        <v>44</v>
      </c>
      <c r="E118" s="5" t="s">
        <v>792</v>
      </c>
      <c r="F118" s="9" t="s">
        <v>793</v>
      </c>
      <c r="G118" s="10" t="s">
        <v>794</v>
      </c>
      <c r="H118" s="10" t="s">
        <v>391</v>
      </c>
      <c r="I118" s="10" t="n">
        <v>1</v>
      </c>
      <c r="J118" s="11" t="n">
        <v>25</v>
      </c>
      <c r="K118" s="10" t="s">
        <v>392</v>
      </c>
      <c r="L118" s="12" t="n">
        <v>61</v>
      </c>
      <c r="M118" s="13" t="n">
        <f aca="false">IF(L118="","",L118*$C$2)</f>
        <v>66.49</v>
      </c>
      <c r="N118" s="5" t="s">
        <v>393</v>
      </c>
      <c r="O118" s="11" t="n">
        <v>6</v>
      </c>
      <c r="P118" s="14" t="n">
        <v>1</v>
      </c>
      <c r="Q118" s="15" t="n">
        <v>0.05</v>
      </c>
      <c r="R118" s="5" t="s">
        <v>795</v>
      </c>
      <c r="S118" s="10" t="s">
        <v>395</v>
      </c>
      <c r="T118" s="10" t="s">
        <v>396</v>
      </c>
      <c r="U118" s="13" t="n">
        <f aca="false">IF(OR(O118="",M118="",J118=""),"",IF(OR(D118="Coverage",D118="Thickness"),M118/J118*O118*IF(P118="",1,P118)*(1+IF(Q118="",0,Q118)),IF(O118=0,"",M118/O118*IF(P118="",1,P118)*(1+IF(Q118="",0,Q118)))))</f>
        <v>16.75548</v>
      </c>
      <c r="V118" s="16" t="n">
        <v>888</v>
      </c>
    </row>
    <row r="119" customFormat="false" ht="15" hidden="false" customHeight="false" outlineLevel="0" collapsed="false">
      <c r="A119" s="8" t="n">
        <v>114</v>
      </c>
      <c r="B119" s="8" t="s">
        <v>180</v>
      </c>
      <c r="C119" s="8" t="s">
        <v>786</v>
      </c>
      <c r="D119" s="8" t="s">
        <v>44</v>
      </c>
      <c r="E119" s="5" t="s">
        <v>796</v>
      </c>
      <c r="F119" s="9" t="s">
        <v>797</v>
      </c>
      <c r="G119" s="10" t="s">
        <v>798</v>
      </c>
      <c r="H119" s="10" t="s">
        <v>391</v>
      </c>
      <c r="I119" s="10" t="n">
        <v>1</v>
      </c>
      <c r="J119" s="11" t="n">
        <v>25</v>
      </c>
      <c r="K119" s="10" t="s">
        <v>392</v>
      </c>
      <c r="L119" s="12" t="n">
        <v>38.5</v>
      </c>
      <c r="M119" s="13" t="n">
        <f aca="false">IF(L119="","",L119*$C$2)</f>
        <v>41.965</v>
      </c>
      <c r="N119" s="5" t="s">
        <v>393</v>
      </c>
      <c r="O119" s="11" t="n">
        <v>4</v>
      </c>
      <c r="P119" s="14" t="n">
        <v>1</v>
      </c>
      <c r="Q119" s="15" t="n">
        <v>0.05</v>
      </c>
      <c r="R119" s="5" t="s">
        <v>799</v>
      </c>
      <c r="S119" s="10" t="s">
        <v>395</v>
      </c>
      <c r="T119" s="10" t="s">
        <v>396</v>
      </c>
      <c r="U119" s="13" t="n">
        <f aca="false">IF(OR(O119="",M119="",J119=""),"",IF(OR(D119="Coverage",D119="Thickness"),M119/J119*O119*IF(P119="",1,P119)*(1+IF(Q119="",0,Q119)),IF(O119=0,"",M119/O119*IF(P119="",1,P119)*(1+IF(Q119="",0,Q119)))))</f>
        <v>7.05012</v>
      </c>
      <c r="V119" s="16" t="n">
        <v>1542</v>
      </c>
    </row>
    <row r="120" customFormat="false" ht="15" hidden="false" customHeight="false" outlineLevel="0" collapsed="false">
      <c r="A120" s="8" t="n">
        <v>115</v>
      </c>
      <c r="B120" s="8" t="s">
        <v>180</v>
      </c>
      <c r="C120" s="8" t="s">
        <v>786</v>
      </c>
      <c r="D120" s="8" t="s">
        <v>44</v>
      </c>
      <c r="E120" s="5" t="s">
        <v>800</v>
      </c>
      <c r="F120" s="9" t="s">
        <v>801</v>
      </c>
      <c r="G120" s="10" t="s">
        <v>802</v>
      </c>
      <c r="H120" s="10" t="s">
        <v>391</v>
      </c>
      <c r="I120" s="10" t="n">
        <v>1</v>
      </c>
      <c r="J120" s="11" t="n">
        <v>25</v>
      </c>
      <c r="K120" s="10" t="s">
        <v>392</v>
      </c>
      <c r="L120" s="12" t="n">
        <v>15.5</v>
      </c>
      <c r="M120" s="13" t="n">
        <f aca="false">IF(L120="","",L120*$C$2)</f>
        <v>16.895</v>
      </c>
      <c r="N120" s="5" t="s">
        <v>393</v>
      </c>
      <c r="O120" s="11" t="n">
        <v>4</v>
      </c>
      <c r="P120" s="14" t="n">
        <v>1</v>
      </c>
      <c r="Q120" s="15" t="n">
        <v>0.05</v>
      </c>
      <c r="R120" s="5" t="s">
        <v>799</v>
      </c>
      <c r="S120" s="10" t="s">
        <v>395</v>
      </c>
      <c r="T120" s="10" t="s">
        <v>396</v>
      </c>
      <c r="U120" s="13" t="n">
        <f aca="false">IF(OR(O120="",M120="",J120=""),"",IF(OR(D120="Coverage",D120="Thickness"),M120/J120*O120*IF(P120="",1,P120)*(1+IF(Q120="",0,Q120)),IF(O120=0,"",M120/O120*IF(P120="",1,P120)*(1+IF(Q120="",0,Q120)))))</f>
        <v>2.83836</v>
      </c>
      <c r="V120" s="16" t="n">
        <v>677</v>
      </c>
    </row>
    <row r="121" customFormat="false" ht="15" hidden="false" customHeight="false" outlineLevel="0" collapsed="false">
      <c r="A121" s="8" t="n">
        <v>116</v>
      </c>
      <c r="B121" s="8" t="s">
        <v>180</v>
      </c>
      <c r="C121" s="8" t="s">
        <v>786</v>
      </c>
      <c r="D121" s="8" t="s">
        <v>44</v>
      </c>
      <c r="E121" s="5" t="s">
        <v>803</v>
      </c>
      <c r="F121" s="9" t="s">
        <v>804</v>
      </c>
      <c r="G121" s="10" t="s">
        <v>805</v>
      </c>
      <c r="H121" s="10" t="s">
        <v>391</v>
      </c>
      <c r="I121" s="10" t="n">
        <v>1</v>
      </c>
      <c r="J121" s="11" t="n">
        <v>25</v>
      </c>
      <c r="K121" s="10" t="s">
        <v>392</v>
      </c>
      <c r="L121" s="12" t="n">
        <v>18.25</v>
      </c>
      <c r="M121" s="13" t="n">
        <f aca="false">IF(L121="","",L121*$C$2)</f>
        <v>19.8925</v>
      </c>
      <c r="N121" s="5" t="s">
        <v>393</v>
      </c>
      <c r="O121" s="11" t="n">
        <v>4</v>
      </c>
      <c r="P121" s="14" t="n">
        <v>1</v>
      </c>
      <c r="Q121" s="15" t="n">
        <v>0.05</v>
      </c>
      <c r="R121" s="5"/>
      <c r="S121" s="10" t="s">
        <v>395</v>
      </c>
      <c r="T121" s="10" t="s">
        <v>396</v>
      </c>
      <c r="U121" s="13" t="n">
        <f aca="false">IF(OR(O121="",M121="",J121=""),"",IF(OR(D121="Coverage",D121="Thickness"),M121/J121*O121*IF(P121="",1,P121)*(1+IF(Q121="",0,Q121)),IF(O121=0,"",M121/O121*IF(P121="",1,P121)*(1+IF(Q121="",0,Q121)))))</f>
        <v>3.34194</v>
      </c>
      <c r="V121" s="16" t="n">
        <v>820</v>
      </c>
    </row>
    <row r="122" customFormat="false" ht="15" hidden="false" customHeight="false" outlineLevel="0" collapsed="false">
      <c r="A122" s="8" t="n">
        <v>117</v>
      </c>
      <c r="B122" s="8" t="s">
        <v>180</v>
      </c>
      <c r="C122" s="8" t="s">
        <v>786</v>
      </c>
      <c r="D122" s="8" t="s">
        <v>44</v>
      </c>
      <c r="E122" s="5" t="s">
        <v>806</v>
      </c>
      <c r="F122" s="9" t="s">
        <v>807</v>
      </c>
      <c r="G122" s="10" t="s">
        <v>808</v>
      </c>
      <c r="H122" s="10" t="s">
        <v>391</v>
      </c>
      <c r="I122" s="10" t="n">
        <v>1</v>
      </c>
      <c r="J122" s="11" t="n">
        <v>25</v>
      </c>
      <c r="K122" s="10" t="s">
        <v>392</v>
      </c>
      <c r="L122" s="12" t="n">
        <v>356.25</v>
      </c>
      <c r="M122" s="13" t="n">
        <f aca="false">IF(L122="","",L122*$C$2)</f>
        <v>388.3125</v>
      </c>
      <c r="N122" s="5" t="s">
        <v>809</v>
      </c>
      <c r="O122" s="11" t="n">
        <v>8.25</v>
      </c>
      <c r="P122" s="14" t="n">
        <v>1</v>
      </c>
      <c r="Q122" s="15" t="n">
        <v>0</v>
      </c>
      <c r="R122" s="5" t="s">
        <v>810</v>
      </c>
      <c r="S122" s="10" t="s">
        <v>395</v>
      </c>
      <c r="T122" s="10" t="s">
        <v>396</v>
      </c>
      <c r="U122" s="13" t="n">
        <f aca="false">IF(OR(O122="",M122="",J122=""),"",IF(OR(D122="Coverage",D122="Thickness"),M122/J122*O122*IF(P122="",1,P122)*(1+IF(Q122="",0,Q122)),IF(O122=0,"",M122/O122*IF(P122="",1,P122)*(1+IF(Q122="",0,Q122)))))</f>
        <v>128.143125</v>
      </c>
      <c r="V122" s="16" t="n">
        <v>1</v>
      </c>
    </row>
    <row r="123" customFormat="false" ht="15" hidden="false" customHeight="false" outlineLevel="0" collapsed="false">
      <c r="A123" s="8" t="n">
        <v>118</v>
      </c>
      <c r="B123" s="8" t="s">
        <v>180</v>
      </c>
      <c r="C123" s="8" t="s">
        <v>786</v>
      </c>
      <c r="D123" s="8" t="s">
        <v>44</v>
      </c>
      <c r="E123" s="5" t="s">
        <v>811</v>
      </c>
      <c r="F123" s="9" t="s">
        <v>812</v>
      </c>
      <c r="G123" s="10" t="s">
        <v>813</v>
      </c>
      <c r="H123" s="10" t="s">
        <v>391</v>
      </c>
      <c r="I123" s="10" t="n">
        <v>1</v>
      </c>
      <c r="J123" s="11" t="n">
        <v>25</v>
      </c>
      <c r="K123" s="10" t="s">
        <v>392</v>
      </c>
      <c r="L123" s="12" t="n">
        <v>30</v>
      </c>
      <c r="M123" s="13" t="n">
        <f aca="false">IF(L123="","",L123*$C$2)</f>
        <v>32.7</v>
      </c>
      <c r="N123" s="5" t="s">
        <v>393</v>
      </c>
      <c r="O123" s="11" t="n">
        <v>4</v>
      </c>
      <c r="P123" s="14" t="n">
        <v>1</v>
      </c>
      <c r="Q123" s="15" t="n">
        <v>0.05</v>
      </c>
      <c r="R123" s="5"/>
      <c r="S123" s="10" t="s">
        <v>395</v>
      </c>
      <c r="T123" s="10" t="s">
        <v>396</v>
      </c>
      <c r="U123" s="13" t="n">
        <f aca="false">IF(OR(O123="",M123="",J123=""),"",IF(OR(D123="Coverage",D123="Thickness"),M123/J123*O123*IF(P123="",1,P123)*(1+IF(Q123="",0,Q123)),IF(O123=0,"",M123/O123*IF(P123="",1,P123)*(1+IF(Q123="",0,Q123)))))</f>
        <v>5.4936</v>
      </c>
      <c r="V123" s="16" t="n">
        <v>835</v>
      </c>
    </row>
    <row r="124" customFormat="false" ht="15" hidden="false" customHeight="false" outlineLevel="0" collapsed="false">
      <c r="A124" s="8" t="n">
        <v>119</v>
      </c>
      <c r="B124" s="8" t="s">
        <v>180</v>
      </c>
      <c r="C124" s="8" t="s">
        <v>786</v>
      </c>
      <c r="D124" s="8" t="s">
        <v>44</v>
      </c>
      <c r="E124" s="5" t="s">
        <v>814</v>
      </c>
      <c r="F124" s="9" t="s">
        <v>815</v>
      </c>
      <c r="G124" s="10" t="s">
        <v>816</v>
      </c>
      <c r="H124" s="10" t="s">
        <v>391</v>
      </c>
      <c r="I124" s="10" t="n">
        <v>1</v>
      </c>
      <c r="J124" s="11" t="n">
        <v>25</v>
      </c>
      <c r="K124" s="10" t="s">
        <v>392</v>
      </c>
      <c r="L124" s="12" t="n">
        <v>73.25</v>
      </c>
      <c r="M124" s="13" t="n">
        <f aca="false">IF(L124="","",L124*$C$2)</f>
        <v>79.8425</v>
      </c>
      <c r="N124" s="5" t="s">
        <v>393</v>
      </c>
      <c r="O124" s="11" t="n">
        <v>2.5</v>
      </c>
      <c r="P124" s="14" t="n">
        <v>1</v>
      </c>
      <c r="Q124" s="15" t="n">
        <v>0.05</v>
      </c>
      <c r="R124" s="5" t="s">
        <v>817</v>
      </c>
      <c r="S124" s="10" t="s">
        <v>395</v>
      </c>
      <c r="T124" s="10" t="s">
        <v>396</v>
      </c>
      <c r="U124" s="13" t="n">
        <f aca="false">IF(OR(O124="",M124="",J124=""),"",IF(OR(D124="Coverage",D124="Thickness"),M124/J124*O124*IF(P124="",1,P124)*(1+IF(Q124="",0,Q124)),IF(O124=0,"",M124/O124*IF(P124="",1,P124)*(1+IF(Q124="",0,Q124)))))</f>
        <v>8.3834625</v>
      </c>
      <c r="V124" s="16" t="n">
        <v>866</v>
      </c>
    </row>
    <row r="125" customFormat="false" ht="15" hidden="false" customHeight="false" outlineLevel="0" collapsed="false">
      <c r="A125" s="8" t="n">
        <v>120</v>
      </c>
      <c r="B125" s="8" t="s">
        <v>180</v>
      </c>
      <c r="C125" s="8" t="s">
        <v>786</v>
      </c>
      <c r="D125" s="8" t="s">
        <v>44</v>
      </c>
      <c r="E125" s="5" t="s">
        <v>818</v>
      </c>
      <c r="F125" s="9" t="s">
        <v>819</v>
      </c>
      <c r="G125" s="10" t="s">
        <v>820</v>
      </c>
      <c r="H125" s="10" t="s">
        <v>391</v>
      </c>
      <c r="I125" s="10" t="n">
        <v>1</v>
      </c>
      <c r="J125" s="11" t="n">
        <v>30.5</v>
      </c>
      <c r="K125" s="10" t="s">
        <v>392</v>
      </c>
      <c r="L125" s="12" t="n">
        <v>114.741</v>
      </c>
      <c r="M125" s="13" t="n">
        <f aca="false">IF(L125="","",L125*$C$2)</f>
        <v>125.06769</v>
      </c>
      <c r="N125" s="5" t="s">
        <v>393</v>
      </c>
      <c r="O125" s="11" t="n">
        <v>4.5</v>
      </c>
      <c r="P125" s="14" t="n">
        <v>1</v>
      </c>
      <c r="Q125" s="15" t="n">
        <v>0.05</v>
      </c>
      <c r="R125" s="5"/>
      <c r="S125" s="10" t="s">
        <v>395</v>
      </c>
      <c r="T125" s="10" t="s">
        <v>396</v>
      </c>
      <c r="U125" s="13" t="n">
        <f aca="false">IF(OR(O125="",M125="",J125=""),"",IF(OR(D125="Coverage",D125="Thickness"),M125/J125*O125*IF(P125="",1,P125)*(1+IF(Q125="",0,Q125)),IF(O125=0,"",M125/O125*IF(P125="",1,P125)*(1+IF(Q125="",0,Q125)))))</f>
        <v>19.3752405</v>
      </c>
      <c r="V125" s="16" t="n">
        <v>337</v>
      </c>
    </row>
    <row r="126" customFormat="false" ht="15" hidden="false" customHeight="false" outlineLevel="0" collapsed="false">
      <c r="A126" s="8" t="n">
        <v>121</v>
      </c>
      <c r="B126" s="8" t="s">
        <v>180</v>
      </c>
      <c r="C126" s="8" t="s">
        <v>786</v>
      </c>
      <c r="D126" s="8" t="s">
        <v>44</v>
      </c>
      <c r="E126" s="5" t="s">
        <v>821</v>
      </c>
      <c r="F126" s="9" t="s">
        <v>822</v>
      </c>
      <c r="G126" s="10" t="s">
        <v>823</v>
      </c>
      <c r="H126" s="10" t="s">
        <v>391</v>
      </c>
      <c r="I126" s="10" t="n">
        <v>1</v>
      </c>
      <c r="J126" s="11" t="n">
        <v>15</v>
      </c>
      <c r="K126" s="10" t="s">
        <v>392</v>
      </c>
      <c r="L126" s="12" t="n">
        <v>47.25</v>
      </c>
      <c r="M126" s="13" t="n">
        <f aca="false">IF(L126="","",L126*$C$2)</f>
        <v>51.5025</v>
      </c>
      <c r="N126" s="5" t="s">
        <v>393</v>
      </c>
      <c r="O126" s="11" t="n">
        <v>2.5</v>
      </c>
      <c r="P126" s="14" t="n">
        <v>1</v>
      </c>
      <c r="Q126" s="15" t="n">
        <v>0.05</v>
      </c>
      <c r="R126" s="5" t="s">
        <v>824</v>
      </c>
      <c r="S126" s="10" t="s">
        <v>395</v>
      </c>
      <c r="T126" s="10" t="s">
        <v>396</v>
      </c>
      <c r="U126" s="13" t="n">
        <f aca="false">IF(OR(O126="",M126="",J126=""),"",IF(OR(D126="Coverage",D126="Thickness"),M126/J126*O126*IF(P126="",1,P126)*(1+IF(Q126="",0,Q126)),IF(O126=0,"",M126/O126*IF(P126="",1,P126)*(1+IF(Q126="",0,Q126)))))</f>
        <v>9.0129375</v>
      </c>
      <c r="V126" s="16" t="n">
        <v>0</v>
      </c>
    </row>
    <row r="127" customFormat="false" ht="15" hidden="false" customHeight="false" outlineLevel="0" collapsed="false">
      <c r="A127" s="8" t="n">
        <v>122</v>
      </c>
      <c r="B127" s="8" t="s">
        <v>180</v>
      </c>
      <c r="C127" s="8" t="s">
        <v>786</v>
      </c>
      <c r="D127" s="8" t="s">
        <v>44</v>
      </c>
      <c r="E127" s="5" t="s">
        <v>825</v>
      </c>
      <c r="F127" s="9" t="s">
        <v>826</v>
      </c>
      <c r="G127" s="10" t="s">
        <v>827</v>
      </c>
      <c r="H127" s="10" t="s">
        <v>391</v>
      </c>
      <c r="I127" s="10" t="n">
        <v>2</v>
      </c>
      <c r="J127" s="11" t="n">
        <v>15</v>
      </c>
      <c r="K127" s="10" t="s">
        <v>392</v>
      </c>
      <c r="L127" s="12" t="n">
        <v>73.65</v>
      </c>
      <c r="M127" s="13" t="n">
        <f aca="false">IF(L127="","",L127*$C$2)</f>
        <v>80.2785</v>
      </c>
      <c r="N127" s="5" t="s">
        <v>393</v>
      </c>
      <c r="O127" s="11" t="n">
        <v>2.5</v>
      </c>
      <c r="P127" s="14" t="n">
        <v>1</v>
      </c>
      <c r="Q127" s="15" t="n">
        <v>0.05</v>
      </c>
      <c r="R127" s="5"/>
      <c r="S127" s="10" t="s">
        <v>395</v>
      </c>
      <c r="T127" s="10" t="s">
        <v>396</v>
      </c>
      <c r="U127" s="13" t="n">
        <f aca="false">IF(OR(O127="",M127="",J127=""),"",IF(OR(D127="Coverage",D127="Thickness"),M127/J127*O127*IF(P127="",1,P127)*(1+IF(Q127="",0,Q127)),IF(O127=0,"",M127/O127*IF(P127="",1,P127)*(1+IF(Q127="",0,Q127)))))</f>
        <v>14.0487375</v>
      </c>
      <c r="V127" s="16" t="n">
        <v>523</v>
      </c>
    </row>
    <row r="128" customFormat="false" ht="15" hidden="false" customHeight="false" outlineLevel="0" collapsed="false">
      <c r="A128" s="8" t="n">
        <v>123</v>
      </c>
      <c r="B128" s="8" t="s">
        <v>180</v>
      </c>
      <c r="C128" s="8" t="s">
        <v>786</v>
      </c>
      <c r="D128" s="8" t="s">
        <v>44</v>
      </c>
      <c r="E128" s="5" t="s">
        <v>828</v>
      </c>
      <c r="F128" s="9" t="s">
        <v>829</v>
      </c>
      <c r="G128" s="10" t="s">
        <v>830</v>
      </c>
      <c r="H128" s="10" t="s">
        <v>391</v>
      </c>
      <c r="I128" s="10" t="n">
        <v>1</v>
      </c>
      <c r="J128" s="11" t="n">
        <v>10</v>
      </c>
      <c r="K128" s="10" t="s">
        <v>392</v>
      </c>
      <c r="L128" s="12" t="n">
        <v>198</v>
      </c>
      <c r="M128" s="13" t="n">
        <f aca="false">IF(L128="","",L128*$C$2)</f>
        <v>215.82</v>
      </c>
      <c r="N128" s="5" t="s">
        <v>393</v>
      </c>
      <c r="O128" s="11" t="n">
        <v>3</v>
      </c>
      <c r="P128" s="14" t="n">
        <v>1</v>
      </c>
      <c r="Q128" s="15" t="n">
        <v>0.05</v>
      </c>
      <c r="R128" s="5"/>
      <c r="S128" s="10" t="s">
        <v>395</v>
      </c>
      <c r="T128" s="10" t="s">
        <v>409</v>
      </c>
      <c r="U128" s="13" t="n">
        <f aca="false">IF(OR(O128="",M128="",J128=""),"",IF(OR(D128="Coverage",D128="Thickness"),M128/J128*O128*IF(P128="",1,P128)*(1+IF(Q128="",0,Q128)),IF(O128=0,"",M128/O128*IF(P128="",1,P128)*(1+IF(Q128="",0,Q128)))))</f>
        <v>67.9833</v>
      </c>
      <c r="V128" s="16" t="n">
        <v>517</v>
      </c>
    </row>
    <row r="129" customFormat="false" ht="15" hidden="false" customHeight="false" outlineLevel="0" collapsed="false">
      <c r="A129" s="8" t="n">
        <v>124</v>
      </c>
      <c r="B129" s="8" t="s">
        <v>180</v>
      </c>
      <c r="C129" s="8" t="s">
        <v>786</v>
      </c>
      <c r="D129" s="8" t="s">
        <v>44</v>
      </c>
      <c r="E129" s="5" t="s">
        <v>831</v>
      </c>
      <c r="F129" s="9" t="s">
        <v>832</v>
      </c>
      <c r="G129" s="10" t="s">
        <v>833</v>
      </c>
      <c r="H129" s="10" t="s">
        <v>391</v>
      </c>
      <c r="I129" s="10" t="n">
        <v>1</v>
      </c>
      <c r="J129" s="11" t="n">
        <v>6</v>
      </c>
      <c r="K129" s="10" t="s">
        <v>392</v>
      </c>
      <c r="L129" s="12" t="n">
        <v>189.54</v>
      </c>
      <c r="M129" s="13" t="n">
        <f aca="false">IF(L129="","",L129*$C$2)</f>
        <v>206.5986</v>
      </c>
      <c r="N129" s="5" t="s">
        <v>393</v>
      </c>
      <c r="O129" s="11" t="n">
        <v>3</v>
      </c>
      <c r="P129" s="14" t="n">
        <v>1</v>
      </c>
      <c r="Q129" s="15" t="n">
        <v>0.05</v>
      </c>
      <c r="R129" s="5"/>
      <c r="S129" s="10" t="s">
        <v>395</v>
      </c>
      <c r="T129" s="10" t="s">
        <v>409</v>
      </c>
      <c r="U129" s="13" t="n">
        <f aca="false">IF(OR(O129="",M129="",J129=""),"",IF(OR(D129="Coverage",D129="Thickness"),M129/J129*O129*IF(P129="",1,P129)*(1+IF(Q129="",0,Q129)),IF(O129=0,"",M129/O129*IF(P129="",1,P129)*(1+IF(Q129="",0,Q129)))))</f>
        <v>108.464265</v>
      </c>
      <c r="V129" s="16" t="n">
        <v>16</v>
      </c>
    </row>
    <row r="130" customFormat="false" ht="15" hidden="false" customHeight="false" outlineLevel="0" collapsed="false">
      <c r="A130" s="8" t="n">
        <v>125</v>
      </c>
      <c r="B130" s="8" t="s">
        <v>180</v>
      </c>
      <c r="C130" s="8" t="s">
        <v>786</v>
      </c>
      <c r="D130" s="8" t="s">
        <v>44</v>
      </c>
      <c r="E130" s="5" t="s">
        <v>834</v>
      </c>
      <c r="F130" s="9" t="s">
        <v>835</v>
      </c>
      <c r="G130" s="10"/>
      <c r="H130" s="10" t="s">
        <v>426</v>
      </c>
      <c r="I130" s="10" t="n">
        <v>1</v>
      </c>
      <c r="J130" s="11" t="n">
        <v>25</v>
      </c>
      <c r="K130" s="10" t="s">
        <v>392</v>
      </c>
      <c r="L130" s="12" t="n">
        <v>50</v>
      </c>
      <c r="M130" s="13" t="n">
        <f aca="false">IF(L130="","",L130*$C$2)</f>
        <v>54.5</v>
      </c>
      <c r="N130" s="5" t="s">
        <v>393</v>
      </c>
      <c r="O130" s="11" t="n">
        <v>3.5</v>
      </c>
      <c r="P130" s="14" t="n">
        <v>1</v>
      </c>
      <c r="Q130" s="15" t="n">
        <v>0.05</v>
      </c>
      <c r="R130" s="5"/>
      <c r="S130" s="10" t="s">
        <v>395</v>
      </c>
      <c r="T130" s="10" t="s">
        <v>409</v>
      </c>
      <c r="U130" s="13" t="n">
        <f aca="false">IF(OR(O130="",M130="",J130=""),"",IF(OR(D130="Coverage",D130="Thickness"),M130/J130*O130*IF(P130="",1,P130)*(1+IF(Q130="",0,Q130)),IF(O130=0,"",M130/O130*IF(P130="",1,P130)*(1+IF(Q130="",0,Q130)))))</f>
        <v>8.0115</v>
      </c>
      <c r="V130" s="16" t="n">
        <v>244</v>
      </c>
    </row>
    <row r="131" customFormat="false" ht="15" hidden="false" customHeight="false" outlineLevel="0" collapsed="false">
      <c r="A131" s="8" t="n">
        <v>126</v>
      </c>
      <c r="B131" s="8" t="s">
        <v>180</v>
      </c>
      <c r="C131" s="8" t="s">
        <v>786</v>
      </c>
      <c r="D131" s="8" t="s">
        <v>44</v>
      </c>
      <c r="E131" s="5" t="s">
        <v>836</v>
      </c>
      <c r="F131" s="9" t="s">
        <v>837</v>
      </c>
      <c r="G131" s="10"/>
      <c r="H131" s="10" t="s">
        <v>426</v>
      </c>
      <c r="I131" s="10" t="n">
        <v>1</v>
      </c>
      <c r="J131" s="11" t="n">
        <v>25</v>
      </c>
      <c r="K131" s="10" t="s">
        <v>392</v>
      </c>
      <c r="L131" s="12" t="n">
        <v>32</v>
      </c>
      <c r="M131" s="13" t="n">
        <f aca="false">IF(L131="","",L131*$C$2)</f>
        <v>34.88</v>
      </c>
      <c r="N131" s="5" t="s">
        <v>393</v>
      </c>
      <c r="O131" s="11" t="n">
        <v>3.5</v>
      </c>
      <c r="P131" s="14" t="n">
        <v>1</v>
      </c>
      <c r="Q131" s="15" t="n">
        <v>0.05</v>
      </c>
      <c r="R131" s="5"/>
      <c r="S131" s="10" t="s">
        <v>395</v>
      </c>
      <c r="T131" s="10" t="s">
        <v>409</v>
      </c>
      <c r="U131" s="13" t="n">
        <f aca="false">IF(OR(O131="",M131="",J131=""),"",IF(OR(D131="Coverage",D131="Thickness"),M131/J131*O131*IF(P131="",1,P131)*(1+IF(Q131="",0,Q131)),IF(O131=0,"",M131/O131*IF(P131="",1,P131)*(1+IF(Q131="",0,Q131)))))</f>
        <v>5.12736</v>
      </c>
      <c r="V131" s="16" t="n">
        <v>360</v>
      </c>
    </row>
    <row r="132" customFormat="false" ht="15" hidden="false" customHeight="false" outlineLevel="0" collapsed="false">
      <c r="A132" s="8" t="n">
        <v>127</v>
      </c>
      <c r="B132" s="8" t="s">
        <v>180</v>
      </c>
      <c r="C132" s="8" t="s">
        <v>786</v>
      </c>
      <c r="D132" s="8" t="s">
        <v>44</v>
      </c>
      <c r="E132" s="5" t="s">
        <v>838</v>
      </c>
      <c r="F132" s="9" t="s">
        <v>839</v>
      </c>
      <c r="G132" s="10" t="s">
        <v>840</v>
      </c>
      <c r="H132" s="10" t="s">
        <v>426</v>
      </c>
      <c r="I132" s="10" t="n">
        <v>1</v>
      </c>
      <c r="J132" s="11" t="n">
        <v>25</v>
      </c>
      <c r="K132" s="10" t="s">
        <v>392</v>
      </c>
      <c r="L132" s="12" t="n">
        <v>95</v>
      </c>
      <c r="M132" s="13" t="n">
        <f aca="false">IF(L132="","",L132*$C$2)</f>
        <v>103.55</v>
      </c>
      <c r="N132" s="5" t="s">
        <v>393</v>
      </c>
      <c r="O132" s="11" t="n">
        <v>3.5</v>
      </c>
      <c r="P132" s="14" t="n">
        <v>1</v>
      </c>
      <c r="Q132" s="15" t="n">
        <v>0.05</v>
      </c>
      <c r="R132" s="5"/>
      <c r="S132" s="10" t="s">
        <v>395</v>
      </c>
      <c r="T132" s="10" t="s">
        <v>409</v>
      </c>
      <c r="U132" s="13" t="n">
        <f aca="false">IF(OR(O132="",M132="",J132=""),"",IF(OR(D132="Coverage",D132="Thickness"),M132/J132*O132*IF(P132="",1,P132)*(1+IF(Q132="",0,Q132)),IF(O132=0,"",M132/O132*IF(P132="",1,P132)*(1+IF(Q132="",0,Q132)))))</f>
        <v>15.22185</v>
      </c>
      <c r="V132" s="16" t="n">
        <v>78</v>
      </c>
    </row>
    <row r="133" customFormat="false" ht="15" hidden="false" customHeight="false" outlineLevel="0" collapsed="false">
      <c r="A133" s="8" t="n">
        <v>128</v>
      </c>
      <c r="B133" s="8" t="s">
        <v>180</v>
      </c>
      <c r="C133" s="8" t="s">
        <v>786</v>
      </c>
      <c r="D133" s="8" t="s">
        <v>44</v>
      </c>
      <c r="E133" s="5" t="s">
        <v>841</v>
      </c>
      <c r="F133" s="9" t="s">
        <v>842</v>
      </c>
      <c r="G133" s="10" t="s">
        <v>843</v>
      </c>
      <c r="H133" s="10" t="s">
        <v>426</v>
      </c>
      <c r="I133" s="10" t="n">
        <v>1</v>
      </c>
      <c r="J133" s="11" t="n">
        <v>25</v>
      </c>
      <c r="K133" s="10" t="s">
        <v>392</v>
      </c>
      <c r="L133" s="12" t="n">
        <v>39</v>
      </c>
      <c r="M133" s="13" t="n">
        <f aca="false">IF(L133="","",L133*$C$2)</f>
        <v>42.51</v>
      </c>
      <c r="N133" s="5" t="s">
        <v>393</v>
      </c>
      <c r="O133" s="11" t="n">
        <v>4</v>
      </c>
      <c r="P133" s="14" t="n">
        <v>1</v>
      </c>
      <c r="Q133" s="15" t="n">
        <v>0.05</v>
      </c>
      <c r="R133" s="5"/>
      <c r="S133" s="10" t="s">
        <v>395</v>
      </c>
      <c r="T133" s="10" t="s">
        <v>409</v>
      </c>
      <c r="U133" s="13" t="n">
        <f aca="false">IF(OR(O133="",M133="",J133=""),"",IF(OR(D133="Coverage",D133="Thickness"),M133/J133*O133*IF(P133="",1,P133)*(1+IF(Q133="",0,Q133)),IF(O133=0,"",M133/O133*IF(P133="",1,P133)*(1+IF(Q133="",0,Q133)))))</f>
        <v>7.14168</v>
      </c>
      <c r="V133" s="16" t="n">
        <v>539</v>
      </c>
    </row>
    <row r="134" customFormat="false" ht="15" hidden="false" customHeight="false" outlineLevel="0" collapsed="false">
      <c r="A134" s="8" t="n">
        <v>129</v>
      </c>
      <c r="B134" s="8" t="s">
        <v>180</v>
      </c>
      <c r="C134" s="8" t="s">
        <v>786</v>
      </c>
      <c r="D134" s="8" t="s">
        <v>44</v>
      </c>
      <c r="E134" s="5" t="s">
        <v>844</v>
      </c>
      <c r="F134" s="9" t="s">
        <v>845</v>
      </c>
      <c r="G134" s="10"/>
      <c r="H134" s="10" t="s">
        <v>426</v>
      </c>
      <c r="I134" s="10" t="n">
        <v>1</v>
      </c>
      <c r="J134" s="11" t="n">
        <v>25</v>
      </c>
      <c r="K134" s="10" t="s">
        <v>392</v>
      </c>
      <c r="L134" s="12" t="n">
        <v>20</v>
      </c>
      <c r="M134" s="13" t="n">
        <f aca="false">IF(L134="","",L134*$C$2)</f>
        <v>21.8</v>
      </c>
      <c r="N134" s="5" t="s">
        <v>393</v>
      </c>
      <c r="O134" s="11" t="n">
        <v>4</v>
      </c>
      <c r="P134" s="14" t="n">
        <v>1</v>
      </c>
      <c r="Q134" s="15" t="n">
        <v>0.05</v>
      </c>
      <c r="R134" s="5"/>
      <c r="S134" s="10" t="s">
        <v>395</v>
      </c>
      <c r="T134" s="10" t="s">
        <v>409</v>
      </c>
      <c r="U134" s="13" t="n">
        <f aca="false">IF(OR(O134="",M134="",J134=""),"",IF(OR(D134="Coverage",D134="Thickness"),M134/J134*O134*IF(P134="",1,P134)*(1+IF(Q134="",0,Q134)),IF(O134=0,"",M134/O134*IF(P134="",1,P134)*(1+IF(Q134="",0,Q134)))))</f>
        <v>3.6624</v>
      </c>
      <c r="V134" s="16" t="n">
        <v>242</v>
      </c>
    </row>
    <row r="135" customFormat="false" ht="15" hidden="false" customHeight="false" outlineLevel="0" collapsed="false">
      <c r="A135" s="8" t="n">
        <v>130</v>
      </c>
      <c r="B135" s="8" t="s">
        <v>180</v>
      </c>
      <c r="C135" s="8" t="s">
        <v>786</v>
      </c>
      <c r="D135" s="8" t="s">
        <v>44</v>
      </c>
      <c r="E135" s="5" t="s">
        <v>846</v>
      </c>
      <c r="F135" s="9" t="s">
        <v>847</v>
      </c>
      <c r="G135" s="10" t="s">
        <v>848</v>
      </c>
      <c r="H135" s="10" t="s">
        <v>416</v>
      </c>
      <c r="I135" s="10" t="n">
        <v>2</v>
      </c>
      <c r="J135" s="11" t="n">
        <v>25</v>
      </c>
      <c r="K135" s="10" t="s">
        <v>392</v>
      </c>
      <c r="L135" s="12" t="n">
        <v>68</v>
      </c>
      <c r="M135" s="13" t="n">
        <f aca="false">IF(L135="","",L135*$C$2)</f>
        <v>74.12</v>
      </c>
      <c r="N135" s="5" t="s">
        <v>393</v>
      </c>
      <c r="O135" s="11" t="n">
        <v>4</v>
      </c>
      <c r="P135" s="14" t="n">
        <v>1</v>
      </c>
      <c r="Q135" s="15" t="n">
        <v>0.05</v>
      </c>
      <c r="R135" s="5"/>
      <c r="S135" s="10" t="s">
        <v>395</v>
      </c>
      <c r="T135" s="10" t="s">
        <v>409</v>
      </c>
      <c r="U135" s="13" t="n">
        <f aca="false">IF(OR(O135="",M135="",J135=""),"",IF(OR(D135="Coverage",D135="Thickness"),M135/J135*O135*IF(P135="",1,P135)*(1+IF(Q135="",0,Q135)),IF(O135=0,"",M135/O135*IF(P135="",1,P135)*(1+IF(Q135="",0,Q135)))))</f>
        <v>12.45216</v>
      </c>
      <c r="V135" s="16" t="n">
        <v>0</v>
      </c>
    </row>
    <row r="136" customFormat="false" ht="15" hidden="false" customHeight="false" outlineLevel="0" collapsed="false">
      <c r="A136" s="8" t="n">
        <v>131</v>
      </c>
      <c r="B136" s="8" t="s">
        <v>180</v>
      </c>
      <c r="C136" s="8" t="s">
        <v>786</v>
      </c>
      <c r="D136" s="8" t="s">
        <v>44</v>
      </c>
      <c r="E136" s="5" t="s">
        <v>849</v>
      </c>
      <c r="F136" s="9" t="s">
        <v>850</v>
      </c>
      <c r="G136" s="10" t="s">
        <v>851</v>
      </c>
      <c r="H136" s="10" t="s">
        <v>416</v>
      </c>
      <c r="I136" s="10" t="n">
        <v>1</v>
      </c>
      <c r="J136" s="11" t="n">
        <v>19.565</v>
      </c>
      <c r="K136" s="10" t="s">
        <v>392</v>
      </c>
      <c r="L136" s="12" t="n">
        <v>49.35</v>
      </c>
      <c r="M136" s="13" t="n">
        <f aca="false">IF(L136="","",L136*$C$2)</f>
        <v>53.7915</v>
      </c>
      <c r="N136" s="5" t="s">
        <v>393</v>
      </c>
      <c r="O136" s="11" t="n">
        <v>4</v>
      </c>
      <c r="P136" s="14" t="n">
        <v>1</v>
      </c>
      <c r="Q136" s="15" t="n">
        <v>0.05</v>
      </c>
      <c r="R136" s="5"/>
      <c r="S136" s="10" t="s">
        <v>395</v>
      </c>
      <c r="T136" s="10" t="s">
        <v>409</v>
      </c>
      <c r="U136" s="13" t="n">
        <f aca="false">IF(OR(O136="",M136="",J136=""),"",IF(OR(D136="Coverage",D136="Thickness"),M136/J136*O136*IF(P136="",1,P136)*(1+IF(Q136="",0,Q136)),IF(O136=0,"",M136/O136*IF(P136="",1,P136)*(1+IF(Q136="",0,Q136)))))</f>
        <v>11.5473703041145</v>
      </c>
      <c r="V136" s="16" t="n">
        <v>143</v>
      </c>
    </row>
    <row r="137" customFormat="false" ht="15" hidden="false" customHeight="false" outlineLevel="0" collapsed="false">
      <c r="A137" s="8" t="n">
        <v>132</v>
      </c>
      <c r="B137" s="8" t="s">
        <v>180</v>
      </c>
      <c r="C137" s="8" t="s">
        <v>786</v>
      </c>
      <c r="D137" s="8" t="s">
        <v>44</v>
      </c>
      <c r="E137" s="5" t="s">
        <v>852</v>
      </c>
      <c r="F137" s="9" t="s">
        <v>853</v>
      </c>
      <c r="G137" s="10" t="s">
        <v>854</v>
      </c>
      <c r="H137" s="10" t="s">
        <v>416</v>
      </c>
      <c r="I137" s="10" t="n">
        <v>1</v>
      </c>
      <c r="J137" s="11" t="n">
        <v>25</v>
      </c>
      <c r="K137" s="10" t="s">
        <v>392</v>
      </c>
      <c r="L137" s="12" t="n">
        <v>20.5</v>
      </c>
      <c r="M137" s="13" t="n">
        <f aca="false">IF(L137="","",L137*$C$2)</f>
        <v>22.345</v>
      </c>
      <c r="N137" s="5" t="s">
        <v>393</v>
      </c>
      <c r="O137" s="11" t="n">
        <v>4</v>
      </c>
      <c r="P137" s="14" t="n">
        <v>1</v>
      </c>
      <c r="Q137" s="15" t="n">
        <v>0.05</v>
      </c>
      <c r="R137" s="5"/>
      <c r="S137" s="10" t="s">
        <v>395</v>
      </c>
      <c r="T137" s="10" t="s">
        <v>409</v>
      </c>
      <c r="U137" s="13" t="n">
        <f aca="false">IF(OR(O137="",M137="",J137=""),"",IF(OR(D137="Coverage",D137="Thickness"),M137/J137*O137*IF(P137="",1,P137)*(1+IF(Q137="",0,Q137)),IF(O137=0,"",M137/O137*IF(P137="",1,P137)*(1+IF(Q137="",0,Q137)))))</f>
        <v>3.75396</v>
      </c>
      <c r="V137" s="16" t="n">
        <v>0</v>
      </c>
    </row>
    <row r="138" customFormat="false" ht="23.85" hidden="false" customHeight="false" outlineLevel="0" collapsed="false">
      <c r="A138" s="17" t="n">
        <v>133</v>
      </c>
      <c r="B138" s="17" t="s">
        <v>180</v>
      </c>
      <c r="C138" s="17" t="s">
        <v>786</v>
      </c>
      <c r="D138" s="17" t="s">
        <v>44</v>
      </c>
      <c r="E138" s="18" t="s">
        <v>855</v>
      </c>
      <c r="F138" s="19" t="s">
        <v>463</v>
      </c>
      <c r="G138" s="20"/>
      <c r="H138" s="20"/>
      <c r="I138" s="20"/>
      <c r="J138" s="21"/>
      <c r="K138" s="22"/>
      <c r="L138" s="23"/>
      <c r="M138" s="24" t="str">
        <f aca="false">IF(L138="","",L138*$C$2)</f>
        <v/>
      </c>
      <c r="N138" s="18" t="s">
        <v>856</v>
      </c>
      <c r="O138" s="25" t="n">
        <v>8</v>
      </c>
      <c r="P138" s="26" t="n">
        <v>1</v>
      </c>
      <c r="Q138" s="27" t="n">
        <v>0</v>
      </c>
      <c r="R138" s="18" t="s">
        <v>857</v>
      </c>
      <c r="S138" s="20" t="s">
        <v>395</v>
      </c>
      <c r="T138" s="20" t="s">
        <v>417</v>
      </c>
      <c r="U138" s="24" t="str">
        <f aca="false">IF(OR(O138="",M138="",J138=""),"",IF(OR(D138="Coverage",D138="Thickness"),M138/J138*O138*IF(P138="",1,P138)*(1+IF(Q138="",0,Q138)),IF(O138=0,"",M138/O138*IF(P138="",1,P138)*(1+IF(Q138="",0,Q138)))))</f>
        <v/>
      </c>
      <c r="V138" s="28"/>
    </row>
    <row r="139" customFormat="false" ht="15" hidden="false" customHeight="false" outlineLevel="0" collapsed="false">
      <c r="A139" s="8" t="n">
        <v>134</v>
      </c>
      <c r="B139" s="8" t="s">
        <v>180</v>
      </c>
      <c r="C139" s="8" t="s">
        <v>858</v>
      </c>
      <c r="D139" s="8" t="s">
        <v>44</v>
      </c>
      <c r="E139" s="5" t="s">
        <v>859</v>
      </c>
      <c r="F139" s="9" t="s">
        <v>860</v>
      </c>
      <c r="G139" s="10" t="s">
        <v>861</v>
      </c>
      <c r="H139" s="10" t="s">
        <v>391</v>
      </c>
      <c r="I139" s="10" t="n">
        <v>40</v>
      </c>
      <c r="J139" s="11" t="n">
        <v>5</v>
      </c>
      <c r="K139" s="10" t="s">
        <v>392</v>
      </c>
      <c r="L139" s="12" t="n">
        <v>45.75</v>
      </c>
      <c r="M139" s="13" t="n">
        <f aca="false">IF(L139="","",L139*$C$2)</f>
        <v>49.8675</v>
      </c>
      <c r="N139" s="5" t="s">
        <v>862</v>
      </c>
      <c r="O139" s="11" t="n">
        <v>1.2</v>
      </c>
      <c r="P139" s="14" t="n">
        <v>1</v>
      </c>
      <c r="Q139" s="15" t="n">
        <v>0.05</v>
      </c>
      <c r="R139" s="5" t="s">
        <v>863</v>
      </c>
      <c r="S139" s="10" t="s">
        <v>395</v>
      </c>
      <c r="T139" s="10" t="s">
        <v>396</v>
      </c>
      <c r="U139" s="13" t="n">
        <f aca="false">IF(OR(O139="",M139="",J139=""),"",IF(OR(D139="Coverage",D139="Thickness"),M139/J139*O139*IF(P139="",1,P139)*(1+IF(Q139="",0,Q139)),IF(O139=0,"",M139/O139*IF(P139="",1,P139)*(1+IF(Q139="",0,Q139)))))</f>
        <v>12.56661</v>
      </c>
      <c r="V139" s="16" t="n">
        <v>805</v>
      </c>
    </row>
    <row r="140" customFormat="false" ht="15" hidden="false" customHeight="false" outlineLevel="0" collapsed="false">
      <c r="A140" s="8" t="n">
        <v>135</v>
      </c>
      <c r="B140" s="8" t="s">
        <v>180</v>
      </c>
      <c r="C140" s="8" t="s">
        <v>858</v>
      </c>
      <c r="D140" s="8" t="s">
        <v>44</v>
      </c>
      <c r="E140" s="5" t="s">
        <v>864</v>
      </c>
      <c r="F140" s="9" t="s">
        <v>865</v>
      </c>
      <c r="G140" s="10" t="s">
        <v>866</v>
      </c>
      <c r="H140" s="10" t="s">
        <v>391</v>
      </c>
      <c r="I140" s="10" t="n">
        <v>14</v>
      </c>
      <c r="J140" s="11" t="n">
        <v>20</v>
      </c>
      <c r="K140" s="10" t="s">
        <v>392</v>
      </c>
      <c r="L140" s="12" t="n">
        <v>50.8</v>
      </c>
      <c r="M140" s="13" t="n">
        <f aca="false">IF(L140="","",L140*$C$2)</f>
        <v>55.372</v>
      </c>
      <c r="N140" s="5" t="s">
        <v>393</v>
      </c>
      <c r="O140" s="11" t="n">
        <v>1.2</v>
      </c>
      <c r="P140" s="14" t="n">
        <v>1</v>
      </c>
      <c r="Q140" s="15" t="n">
        <v>0.05</v>
      </c>
      <c r="R140" s="5" t="s">
        <v>867</v>
      </c>
      <c r="S140" s="10" t="s">
        <v>395</v>
      </c>
      <c r="T140" s="10" t="s">
        <v>396</v>
      </c>
      <c r="U140" s="13" t="n">
        <f aca="false">IF(OR(O140="",M140="",J140=""),"",IF(OR(D140="Coverage",D140="Thickness"),M140/J140*O140*IF(P140="",1,P140)*(1+IF(Q140="",0,Q140)),IF(O140=0,"",M140/O140*IF(P140="",1,P140)*(1+IF(Q140="",0,Q140)))))</f>
        <v>3.488436</v>
      </c>
      <c r="V140" s="16" t="n">
        <v>0</v>
      </c>
    </row>
    <row r="141" customFormat="false" ht="15" hidden="false" customHeight="false" outlineLevel="0" collapsed="false">
      <c r="A141" s="8" t="n">
        <v>136</v>
      </c>
      <c r="B141" s="8" t="s">
        <v>180</v>
      </c>
      <c r="C141" s="8" t="s">
        <v>858</v>
      </c>
      <c r="D141" s="8" t="s">
        <v>44</v>
      </c>
      <c r="E141" s="5" t="s">
        <v>868</v>
      </c>
      <c r="F141" s="9" t="s">
        <v>869</v>
      </c>
      <c r="G141" s="10" t="s">
        <v>870</v>
      </c>
      <c r="H141" s="10" t="s">
        <v>391</v>
      </c>
      <c r="I141" s="10" t="n">
        <v>17</v>
      </c>
      <c r="J141" s="11" t="n">
        <v>5</v>
      </c>
      <c r="K141" s="10" t="s">
        <v>392</v>
      </c>
      <c r="L141" s="12" t="n">
        <v>162.95</v>
      </c>
      <c r="M141" s="13" t="n">
        <f aca="false">IF(L141="","",L141*$C$2)</f>
        <v>177.6155</v>
      </c>
      <c r="N141" s="5" t="s">
        <v>393</v>
      </c>
      <c r="O141" s="11" t="n">
        <v>0.6</v>
      </c>
      <c r="P141" s="14" t="n">
        <v>1</v>
      </c>
      <c r="Q141" s="15" t="n">
        <v>0.05</v>
      </c>
      <c r="R141" s="5" t="s">
        <v>871</v>
      </c>
      <c r="S141" s="10" t="s">
        <v>395</v>
      </c>
      <c r="T141" s="10" t="s">
        <v>396</v>
      </c>
      <c r="U141" s="13" t="n">
        <f aca="false">IF(OR(O141="",M141="",J141=""),"",IF(OR(D141="Coverage",D141="Thickness"),M141/J141*O141*IF(P141="",1,P141)*(1+IF(Q141="",0,Q141)),IF(O141=0,"",M141/O141*IF(P141="",1,P141)*(1+IF(Q141="",0,Q141)))))</f>
        <v>22.379553</v>
      </c>
      <c r="V141" s="16" t="n">
        <v>845</v>
      </c>
    </row>
    <row r="142" customFormat="false" ht="15" hidden="false" customHeight="false" outlineLevel="0" collapsed="false">
      <c r="A142" s="8" t="n">
        <v>137</v>
      </c>
      <c r="B142" s="8" t="s">
        <v>180</v>
      </c>
      <c r="C142" s="8" t="s">
        <v>858</v>
      </c>
      <c r="D142" s="8" t="s">
        <v>44</v>
      </c>
      <c r="E142" s="5" t="s">
        <v>872</v>
      </c>
      <c r="F142" s="9" t="s">
        <v>873</v>
      </c>
      <c r="G142" s="10" t="s">
        <v>874</v>
      </c>
      <c r="H142" s="10" t="s">
        <v>391</v>
      </c>
      <c r="I142" s="10" t="n">
        <v>15</v>
      </c>
      <c r="J142" s="11" t="n">
        <v>10</v>
      </c>
      <c r="K142" s="10" t="s">
        <v>392</v>
      </c>
      <c r="L142" s="12" t="n">
        <v>304.2</v>
      </c>
      <c r="M142" s="13" t="n">
        <f aca="false">IF(L142="","",L142*$C$2)</f>
        <v>331.578</v>
      </c>
      <c r="N142" s="5" t="s">
        <v>393</v>
      </c>
      <c r="O142" s="11" t="n">
        <v>0.6</v>
      </c>
      <c r="P142" s="14" t="n">
        <v>1</v>
      </c>
      <c r="Q142" s="15" t="n">
        <v>0.05</v>
      </c>
      <c r="R142" s="5" t="s">
        <v>867</v>
      </c>
      <c r="S142" s="10" t="s">
        <v>395</v>
      </c>
      <c r="T142" s="10" t="s">
        <v>396</v>
      </c>
      <c r="U142" s="13" t="n">
        <f aca="false">IF(OR(O142="",M142="",J142=""),"",IF(OR(D142="Coverage",D142="Thickness"),M142/J142*O142*IF(P142="",1,P142)*(1+IF(Q142="",0,Q142)),IF(O142=0,"",M142/O142*IF(P142="",1,P142)*(1+IF(Q142="",0,Q142)))))</f>
        <v>20.889414</v>
      </c>
      <c r="V142" s="16" t="n">
        <v>467</v>
      </c>
    </row>
    <row r="143" customFormat="false" ht="15" hidden="false" customHeight="false" outlineLevel="0" collapsed="false">
      <c r="A143" s="8" t="n">
        <v>138</v>
      </c>
      <c r="B143" s="8" t="s">
        <v>180</v>
      </c>
      <c r="C143" s="8" t="s">
        <v>858</v>
      </c>
      <c r="D143" s="8" t="s">
        <v>44</v>
      </c>
      <c r="E143" s="5" t="s">
        <v>875</v>
      </c>
      <c r="F143" s="9" t="s">
        <v>876</v>
      </c>
      <c r="G143" s="10" t="s">
        <v>877</v>
      </c>
      <c r="H143" s="10" t="s">
        <v>391</v>
      </c>
      <c r="I143" s="10" t="n">
        <v>1</v>
      </c>
      <c r="J143" s="11" t="n">
        <v>3</v>
      </c>
      <c r="K143" s="10" t="s">
        <v>392</v>
      </c>
      <c r="L143" s="12" t="n">
        <v>100.44</v>
      </c>
      <c r="M143" s="13" t="n">
        <f aca="false">IF(L143="","",L143*$C$2)</f>
        <v>109.4796</v>
      </c>
      <c r="N143" s="5" t="s">
        <v>393</v>
      </c>
      <c r="O143" s="11" t="n">
        <v>0.6</v>
      </c>
      <c r="P143" s="14" t="n">
        <v>1</v>
      </c>
      <c r="Q143" s="15" t="n">
        <v>0.05</v>
      </c>
      <c r="R143" s="5" t="s">
        <v>867</v>
      </c>
      <c r="S143" s="10" t="s">
        <v>395</v>
      </c>
      <c r="T143" s="10" t="s">
        <v>396</v>
      </c>
      <c r="U143" s="13" t="n">
        <f aca="false">IF(OR(O143="",M143="",J143=""),"",IF(OR(D143="Coverage",D143="Thickness"),M143/J143*O143*IF(P143="",1,P143)*(1+IF(Q143="",0,Q143)),IF(O143=0,"",M143/O143*IF(P143="",1,P143)*(1+IF(Q143="",0,Q143)))))</f>
        <v>22.990716</v>
      </c>
      <c r="V143" s="16" t="n">
        <v>0</v>
      </c>
    </row>
    <row r="144" customFormat="false" ht="15" hidden="false" customHeight="false" outlineLevel="0" collapsed="false">
      <c r="A144" s="8" t="n">
        <v>139</v>
      </c>
      <c r="B144" s="8" t="s">
        <v>180</v>
      </c>
      <c r="C144" s="8" t="s">
        <v>858</v>
      </c>
      <c r="D144" s="8" t="s">
        <v>44</v>
      </c>
      <c r="E144" s="5" t="s">
        <v>878</v>
      </c>
      <c r="F144" s="9" t="s">
        <v>879</v>
      </c>
      <c r="G144" s="10" t="s">
        <v>880</v>
      </c>
      <c r="H144" s="10" t="s">
        <v>391</v>
      </c>
      <c r="I144" s="10" t="n">
        <v>1</v>
      </c>
      <c r="J144" s="11" t="n">
        <v>3</v>
      </c>
      <c r="K144" s="10" t="s">
        <v>392</v>
      </c>
      <c r="L144" s="12" t="n">
        <v>170.79</v>
      </c>
      <c r="M144" s="13" t="n">
        <f aca="false">IF(L144="","",L144*$C$2)</f>
        <v>186.1611</v>
      </c>
      <c r="N144" s="5" t="s">
        <v>393</v>
      </c>
      <c r="O144" s="11" t="n">
        <v>0.6</v>
      </c>
      <c r="P144" s="14" t="n">
        <v>1</v>
      </c>
      <c r="Q144" s="15" t="n">
        <v>0.05</v>
      </c>
      <c r="R144" s="5" t="s">
        <v>867</v>
      </c>
      <c r="S144" s="10" t="s">
        <v>395</v>
      </c>
      <c r="T144" s="10" t="s">
        <v>396</v>
      </c>
      <c r="U144" s="13" t="n">
        <f aca="false">IF(OR(O144="",M144="",J144=""),"",IF(OR(D144="Coverage",D144="Thickness"),M144/J144*O144*IF(P144="",1,P144)*(1+IF(Q144="",0,Q144)),IF(O144=0,"",M144/O144*IF(P144="",1,P144)*(1+IF(Q144="",0,Q144)))))</f>
        <v>39.093831</v>
      </c>
      <c r="V144" s="16" t="n">
        <v>0</v>
      </c>
    </row>
    <row r="145" customFormat="false" ht="15" hidden="false" customHeight="false" outlineLevel="0" collapsed="false">
      <c r="A145" s="8" t="n">
        <v>140</v>
      </c>
      <c r="B145" s="8" t="s">
        <v>180</v>
      </c>
      <c r="C145" s="8" t="s">
        <v>858</v>
      </c>
      <c r="D145" s="8" t="s">
        <v>44</v>
      </c>
      <c r="E145" s="5" t="s">
        <v>881</v>
      </c>
      <c r="F145" s="9" t="s">
        <v>882</v>
      </c>
      <c r="G145" s="10"/>
      <c r="H145" s="10" t="s">
        <v>426</v>
      </c>
      <c r="I145" s="10" t="n">
        <v>1</v>
      </c>
      <c r="J145" s="11" t="n">
        <v>3</v>
      </c>
      <c r="K145" s="10" t="s">
        <v>392</v>
      </c>
      <c r="L145" s="12" t="n">
        <v>32</v>
      </c>
      <c r="M145" s="13" t="n">
        <f aca="false">IF(L145="","",L145*$C$2)</f>
        <v>34.88</v>
      </c>
      <c r="N145" s="5" t="s">
        <v>393</v>
      </c>
      <c r="O145" s="11" t="n">
        <v>1.2</v>
      </c>
      <c r="P145" s="14" t="n">
        <v>1</v>
      </c>
      <c r="Q145" s="15" t="n">
        <v>0.05</v>
      </c>
      <c r="R145" s="5" t="s">
        <v>883</v>
      </c>
      <c r="S145" s="10" t="s">
        <v>395</v>
      </c>
      <c r="T145" s="10" t="s">
        <v>409</v>
      </c>
      <c r="U145" s="13" t="n">
        <f aca="false">IF(OR(O145="",M145="",J145=""),"",IF(OR(D145="Coverage",D145="Thickness"),M145/J145*O145*IF(P145="",1,P145)*(1+IF(Q145="",0,Q145)),IF(O145=0,"",M145/O145*IF(P145="",1,P145)*(1+IF(Q145="",0,Q145)))))</f>
        <v>14.6496</v>
      </c>
      <c r="V145" s="16" t="n">
        <v>94</v>
      </c>
    </row>
    <row r="146" customFormat="false" ht="15" hidden="false" customHeight="false" outlineLevel="0" collapsed="false">
      <c r="A146" s="8" t="n">
        <v>141</v>
      </c>
      <c r="B146" s="8" t="s">
        <v>180</v>
      </c>
      <c r="C146" s="8" t="s">
        <v>858</v>
      </c>
      <c r="D146" s="8" t="s">
        <v>44</v>
      </c>
      <c r="E146" s="5" t="s">
        <v>884</v>
      </c>
      <c r="F146" s="9" t="s">
        <v>885</v>
      </c>
      <c r="G146" s="10" t="s">
        <v>886</v>
      </c>
      <c r="H146" s="10" t="s">
        <v>426</v>
      </c>
      <c r="I146" s="10" t="n">
        <v>1</v>
      </c>
      <c r="J146" s="11" t="n">
        <v>3</v>
      </c>
      <c r="K146" s="10" t="s">
        <v>392</v>
      </c>
      <c r="L146" s="12" t="n">
        <v>105</v>
      </c>
      <c r="M146" s="13" t="n">
        <f aca="false">IF(L146="","",L146*$C$2)</f>
        <v>114.45</v>
      </c>
      <c r="N146" s="5" t="s">
        <v>393</v>
      </c>
      <c r="O146" s="11" t="n">
        <v>0.6</v>
      </c>
      <c r="P146" s="14" t="n">
        <v>1</v>
      </c>
      <c r="Q146" s="15" t="n">
        <v>0.05</v>
      </c>
      <c r="R146" s="5" t="s">
        <v>887</v>
      </c>
      <c r="S146" s="10" t="s">
        <v>395</v>
      </c>
      <c r="T146" s="10" t="s">
        <v>409</v>
      </c>
      <c r="U146" s="13" t="n">
        <f aca="false">IF(OR(O146="",M146="",J146=""),"",IF(OR(D146="Coverage",D146="Thickness"),M146/J146*O146*IF(P146="",1,P146)*(1+IF(Q146="",0,Q146)),IF(O146=0,"",M146/O146*IF(P146="",1,P146)*(1+IF(Q146="",0,Q146)))))</f>
        <v>24.0345</v>
      </c>
      <c r="V146" s="16" t="n">
        <v>0</v>
      </c>
    </row>
    <row r="147" customFormat="false" ht="15" hidden="false" customHeight="false" outlineLevel="0" collapsed="false">
      <c r="A147" s="8" t="n">
        <v>142</v>
      </c>
      <c r="B147" s="8" t="s">
        <v>180</v>
      </c>
      <c r="C147" s="8" t="s">
        <v>858</v>
      </c>
      <c r="D147" s="8" t="s">
        <v>44</v>
      </c>
      <c r="E147" s="5" t="s">
        <v>888</v>
      </c>
      <c r="F147" s="9" t="s">
        <v>889</v>
      </c>
      <c r="G147" s="10" t="s">
        <v>890</v>
      </c>
      <c r="H147" s="10" t="s">
        <v>416</v>
      </c>
      <c r="I147" s="10" t="n">
        <v>1</v>
      </c>
      <c r="J147" s="11" t="n">
        <v>20</v>
      </c>
      <c r="K147" s="10" t="s">
        <v>392</v>
      </c>
      <c r="L147" s="12" t="n">
        <v>32.59</v>
      </c>
      <c r="M147" s="13" t="n">
        <f aca="false">IF(L147="","",L147*$C$2)</f>
        <v>35.5231</v>
      </c>
      <c r="N147" s="5" t="s">
        <v>393</v>
      </c>
      <c r="O147" s="11" t="n">
        <v>1.2</v>
      </c>
      <c r="P147" s="14" t="n">
        <v>1</v>
      </c>
      <c r="Q147" s="15" t="n">
        <v>0.05</v>
      </c>
      <c r="R147" s="5"/>
      <c r="S147" s="10" t="s">
        <v>395</v>
      </c>
      <c r="T147" s="10" t="s">
        <v>409</v>
      </c>
      <c r="U147" s="13" t="n">
        <f aca="false">IF(OR(O147="",M147="",J147=""),"",IF(OR(D147="Coverage",D147="Thickness"),M147/J147*O147*IF(P147="",1,P147)*(1+IF(Q147="",0,Q147)),IF(O147=0,"",M147/O147*IF(P147="",1,P147)*(1+IF(Q147="",0,Q147)))))</f>
        <v>2.2379553</v>
      </c>
      <c r="V147" s="16" t="n">
        <v>0</v>
      </c>
    </row>
    <row r="148" customFormat="false" ht="15" hidden="false" customHeight="false" outlineLevel="0" collapsed="false">
      <c r="A148" s="8" t="n">
        <v>143</v>
      </c>
      <c r="B148" s="8" t="s">
        <v>180</v>
      </c>
      <c r="C148" s="8" t="s">
        <v>858</v>
      </c>
      <c r="D148" s="8" t="s">
        <v>44</v>
      </c>
      <c r="E148" s="5" t="s">
        <v>891</v>
      </c>
      <c r="F148" s="9" t="s">
        <v>892</v>
      </c>
      <c r="G148" s="10" t="s">
        <v>893</v>
      </c>
      <c r="H148" s="10" t="s">
        <v>511</v>
      </c>
      <c r="I148" s="10" t="n">
        <v>1</v>
      </c>
      <c r="J148" s="11" t="n">
        <v>5</v>
      </c>
      <c r="K148" s="10" t="s">
        <v>392</v>
      </c>
      <c r="L148" s="12" t="n">
        <v>21.6</v>
      </c>
      <c r="M148" s="13" t="n">
        <f aca="false">IF(L148="","",L148*$C$2)</f>
        <v>23.544</v>
      </c>
      <c r="N148" s="5" t="s">
        <v>393</v>
      </c>
      <c r="O148" s="11" t="n">
        <v>1.2</v>
      </c>
      <c r="P148" s="14" t="n">
        <v>1</v>
      </c>
      <c r="Q148" s="15" t="n">
        <v>0.05</v>
      </c>
      <c r="R148" s="5"/>
      <c r="S148" s="10" t="s">
        <v>395</v>
      </c>
      <c r="T148" s="10" t="s">
        <v>409</v>
      </c>
      <c r="U148" s="13" t="n">
        <f aca="false">IF(OR(O148="",M148="",J148=""),"",IF(OR(D148="Coverage",D148="Thickness"),M148/J148*O148*IF(P148="",1,P148)*(1+IF(Q148="",0,Q148)),IF(O148=0,"",M148/O148*IF(P148="",1,P148)*(1+IF(Q148="",0,Q148)))))</f>
        <v>5.933088</v>
      </c>
      <c r="V148" s="16" t="n">
        <v>4</v>
      </c>
    </row>
    <row r="149" customFormat="false" ht="23.85" hidden="false" customHeight="false" outlineLevel="0" collapsed="false">
      <c r="A149" s="8" t="n">
        <v>144</v>
      </c>
      <c r="B149" s="8" t="s">
        <v>180</v>
      </c>
      <c r="C149" s="8" t="s">
        <v>858</v>
      </c>
      <c r="D149" s="8" t="s">
        <v>44</v>
      </c>
      <c r="E149" s="5" t="s">
        <v>894</v>
      </c>
      <c r="F149" s="9" t="s">
        <v>895</v>
      </c>
      <c r="G149" s="10"/>
      <c r="H149" s="10"/>
      <c r="I149" s="10" t="n">
        <v>1</v>
      </c>
      <c r="J149" s="11" t="n">
        <v>5.2</v>
      </c>
      <c r="K149" s="10" t="s">
        <v>392</v>
      </c>
      <c r="L149" s="12" t="n">
        <v>140</v>
      </c>
      <c r="M149" s="13" t="n">
        <f aca="false">IF(L149="","",L149*$C$2)</f>
        <v>152.6</v>
      </c>
      <c r="N149" s="5" t="s">
        <v>896</v>
      </c>
      <c r="O149" s="29" t="n">
        <v>15</v>
      </c>
      <c r="P149" s="30" t="n">
        <v>1</v>
      </c>
      <c r="Q149" s="31" t="n">
        <v>0</v>
      </c>
      <c r="R149" s="5" t="s">
        <v>897</v>
      </c>
      <c r="S149" s="10" t="s">
        <v>395</v>
      </c>
      <c r="T149" s="32" t="s">
        <v>417</v>
      </c>
      <c r="U149" s="13" t="n">
        <f aca="false">IF(OR(O149="",M149="",J149=""),"",IF(OR(D149="Coverage",D149="Thickness"),M149/J149*O149*IF(P149="",1,P149)*(1+IF(Q149="",0,Q149)),IF(O149=0,"",M149/O149*IF(P149="",1,P149)*(1+IF(Q149="",0,Q149)))))</f>
        <v>440.192307692308</v>
      </c>
      <c r="V149" s="16" t="n">
        <v>0</v>
      </c>
    </row>
    <row r="150" customFormat="false" ht="15" hidden="false" customHeight="false" outlineLevel="0" collapsed="false">
      <c r="A150" s="8" t="n">
        <v>145</v>
      </c>
      <c r="B150" s="8" t="s">
        <v>180</v>
      </c>
      <c r="C150" s="8" t="s">
        <v>858</v>
      </c>
      <c r="D150" s="8" t="s">
        <v>44</v>
      </c>
      <c r="E150" s="5" t="s">
        <v>898</v>
      </c>
      <c r="F150" s="9" t="s">
        <v>899</v>
      </c>
      <c r="G150" s="10" t="s">
        <v>900</v>
      </c>
      <c r="H150" s="10" t="s">
        <v>391</v>
      </c>
      <c r="I150" s="10" t="n">
        <v>1</v>
      </c>
      <c r="J150" s="11" t="n">
        <v>10</v>
      </c>
      <c r="K150" s="10" t="s">
        <v>392</v>
      </c>
      <c r="L150" s="12" t="n">
        <v>128.7</v>
      </c>
      <c r="M150" s="13" t="n">
        <f aca="false">IF(L150="","",L150*$C$2)</f>
        <v>140.283</v>
      </c>
      <c r="N150" s="5" t="s">
        <v>901</v>
      </c>
      <c r="O150" s="11" t="n">
        <v>1.25</v>
      </c>
      <c r="P150" s="14" t="n">
        <v>1</v>
      </c>
      <c r="Q150" s="15" t="n">
        <v>0</v>
      </c>
      <c r="R150" s="5" t="s">
        <v>902</v>
      </c>
      <c r="S150" s="10" t="s">
        <v>395</v>
      </c>
      <c r="T150" s="10" t="s">
        <v>409</v>
      </c>
      <c r="U150" s="13" t="n">
        <f aca="false">IF(OR(O150="",M150="",J150=""),"",IF(OR(D150="Coverage",D150="Thickness"),M150/J150*O150*IF(P150="",1,P150)*(1+IF(Q150="",0,Q150)),IF(O150=0,"",M150/O150*IF(P150="",1,P150)*(1+IF(Q150="",0,Q150)))))</f>
        <v>17.535375</v>
      </c>
      <c r="V150" s="16" t="n">
        <v>1</v>
      </c>
    </row>
    <row r="151" customFormat="false" ht="23.85" hidden="false" customHeight="false" outlineLevel="0" collapsed="false">
      <c r="A151" s="8" t="n">
        <v>146</v>
      </c>
      <c r="B151" s="8" t="s">
        <v>180</v>
      </c>
      <c r="C151" s="8" t="s">
        <v>903</v>
      </c>
      <c r="D151" s="8" t="s">
        <v>113</v>
      </c>
      <c r="E151" s="5" t="s">
        <v>904</v>
      </c>
      <c r="F151" s="9" t="s">
        <v>905</v>
      </c>
      <c r="G151" s="10" t="s">
        <v>906</v>
      </c>
      <c r="H151" s="10" t="s">
        <v>391</v>
      </c>
      <c r="I151" s="10" t="n">
        <v>36</v>
      </c>
      <c r="J151" s="11" t="n">
        <v>0.31</v>
      </c>
      <c r="K151" s="10" t="s">
        <v>417</v>
      </c>
      <c r="L151" s="12" t="n">
        <v>23.85</v>
      </c>
      <c r="M151" s="13" t="n">
        <f aca="false">IF(L151="","",L151*$C$2)</f>
        <v>25.9965</v>
      </c>
      <c r="N151" s="5" t="s">
        <v>907</v>
      </c>
      <c r="O151" s="11" t="n">
        <v>8</v>
      </c>
      <c r="P151" s="14" t="n">
        <v>1</v>
      </c>
      <c r="Q151" s="15" t="n">
        <v>0.05</v>
      </c>
      <c r="R151" s="5" t="s">
        <v>908</v>
      </c>
      <c r="S151" s="10" t="s">
        <v>395</v>
      </c>
      <c r="T151" s="10" t="s">
        <v>409</v>
      </c>
      <c r="U151" s="13" t="n">
        <f aca="false">IF(OR(O151="",M151="",J151=""),"",IF(OR(D151="Coverage",D151="Thickness"),M151/J151*O151*IF(P151="",1,P151)*(1+IF(Q151="",0,Q151)),IF(O151=0,"",M151/O151*IF(P151="",1,P151)*(1+IF(Q151="",0,Q151)))))</f>
        <v>3.412040625</v>
      </c>
      <c r="V151" s="16" t="n">
        <v>310</v>
      </c>
    </row>
    <row r="152" customFormat="false" ht="15" hidden="false" customHeight="false" outlineLevel="0" collapsed="false">
      <c r="A152" s="8" t="n">
        <v>147</v>
      </c>
      <c r="B152" s="8" t="s">
        <v>180</v>
      </c>
      <c r="C152" s="8" t="s">
        <v>903</v>
      </c>
      <c r="D152" s="8" t="s">
        <v>113</v>
      </c>
      <c r="E152" s="5" t="s">
        <v>909</v>
      </c>
      <c r="F152" s="9" t="s">
        <v>910</v>
      </c>
      <c r="G152" s="10" t="s">
        <v>911</v>
      </c>
      <c r="H152" s="10" t="s">
        <v>391</v>
      </c>
      <c r="I152" s="10" t="n">
        <v>10</v>
      </c>
      <c r="J152" s="11" t="n">
        <v>0.31</v>
      </c>
      <c r="K152" s="10" t="s">
        <v>417</v>
      </c>
      <c r="L152" s="12" t="n">
        <v>32.2</v>
      </c>
      <c r="M152" s="13" t="n">
        <f aca="false">IF(L152="","",L152*$C$2)</f>
        <v>35.098</v>
      </c>
      <c r="N152" s="5" t="s">
        <v>567</v>
      </c>
      <c r="O152" s="11" t="n">
        <v>8</v>
      </c>
      <c r="P152" s="14" t="n">
        <v>1</v>
      </c>
      <c r="Q152" s="15" t="n">
        <v>0.05</v>
      </c>
      <c r="R152" s="5" t="s">
        <v>912</v>
      </c>
      <c r="S152" s="10" t="s">
        <v>395</v>
      </c>
      <c r="T152" s="10" t="s">
        <v>409</v>
      </c>
      <c r="U152" s="13" t="n">
        <f aca="false">IF(OR(O152="",M152="",J152=""),"",IF(OR(D152="Coverage",D152="Thickness"),M152/J152*O152*IF(P152="",1,P152)*(1+IF(Q152="",0,Q152)),IF(O152=0,"",M152/O152*IF(P152="",1,P152)*(1+IF(Q152="",0,Q152)))))</f>
        <v>4.6066125</v>
      </c>
      <c r="V152" s="16" t="n">
        <v>43</v>
      </c>
    </row>
    <row r="153" customFormat="false" ht="15" hidden="false" customHeight="false" outlineLevel="0" collapsed="false">
      <c r="A153" s="8" t="n">
        <v>148</v>
      </c>
      <c r="B153" s="8" t="s">
        <v>180</v>
      </c>
      <c r="C153" s="8" t="s">
        <v>903</v>
      </c>
      <c r="D153" s="8" t="s">
        <v>113</v>
      </c>
      <c r="E153" s="5" t="s">
        <v>913</v>
      </c>
      <c r="F153" s="9" t="s">
        <v>914</v>
      </c>
      <c r="G153" s="10"/>
      <c r="H153" s="10" t="s">
        <v>426</v>
      </c>
      <c r="I153" s="10" t="n">
        <v>1</v>
      </c>
      <c r="J153" s="11" t="n">
        <v>0.31</v>
      </c>
      <c r="K153" s="10" t="s">
        <v>417</v>
      </c>
      <c r="L153" s="12" t="n">
        <v>42</v>
      </c>
      <c r="M153" s="13" t="n">
        <f aca="false">IF(L153="","",L153*$C$2)</f>
        <v>45.78</v>
      </c>
      <c r="N153" s="5" t="s">
        <v>567</v>
      </c>
      <c r="O153" s="11" t="n">
        <v>8</v>
      </c>
      <c r="P153" s="14" t="n">
        <v>1</v>
      </c>
      <c r="Q153" s="15" t="n">
        <v>0.05</v>
      </c>
      <c r="R153" s="5" t="s">
        <v>912</v>
      </c>
      <c r="S153" s="10" t="s">
        <v>395</v>
      </c>
      <c r="T153" s="10" t="s">
        <v>409</v>
      </c>
      <c r="U153" s="13" t="n">
        <f aca="false">IF(OR(O153="",M153="",J153=""),"",IF(OR(D153="Coverage",D153="Thickness"),M153/J153*O153*IF(P153="",1,P153)*(1+IF(Q153="",0,Q153)),IF(O153=0,"",M153/O153*IF(P153="",1,P153)*(1+IF(Q153="",0,Q153)))))</f>
        <v>6.008625</v>
      </c>
      <c r="V153" s="16" t="n">
        <v>0</v>
      </c>
    </row>
    <row r="154" customFormat="false" ht="23.85" hidden="false" customHeight="false" outlineLevel="0" collapsed="false">
      <c r="A154" s="8" t="n">
        <v>149</v>
      </c>
      <c r="B154" s="8" t="s">
        <v>180</v>
      </c>
      <c r="C154" s="8" t="s">
        <v>915</v>
      </c>
      <c r="D154" s="8" t="s">
        <v>99</v>
      </c>
      <c r="E154" s="5" t="s">
        <v>916</v>
      </c>
      <c r="F154" s="9" t="s">
        <v>917</v>
      </c>
      <c r="G154" s="10"/>
      <c r="H154" s="10"/>
      <c r="I154" s="10" t="n">
        <v>1</v>
      </c>
      <c r="J154" s="11" t="n">
        <v>100</v>
      </c>
      <c r="K154" s="10" t="s">
        <v>555</v>
      </c>
      <c r="L154" s="12" t="n">
        <v>6</v>
      </c>
      <c r="M154" s="13" t="n">
        <f aca="false">IF(L154="","",L154*$C$2)</f>
        <v>6.54</v>
      </c>
      <c r="N154" s="5" t="s">
        <v>918</v>
      </c>
      <c r="O154" s="11" t="n">
        <v>25</v>
      </c>
      <c r="P154" s="14" t="n">
        <v>1</v>
      </c>
      <c r="Q154" s="15" t="n">
        <v>0</v>
      </c>
      <c r="R154" s="5" t="s">
        <v>919</v>
      </c>
      <c r="S154" s="10" t="s">
        <v>395</v>
      </c>
      <c r="T154" s="10" t="s">
        <v>409</v>
      </c>
      <c r="U154" s="13" t="n">
        <f aca="false">IF(OR(O154="",M154="",J154=""),"",IF(OR(D154="Coverage",D154="Thickness"),M154/J154*O154*IF(P154="",1,P154)*(1+IF(Q154="",0,Q154)),IF(O154=0,"",M154/O154*IF(P154="",1,P154)*(1+IF(Q154="",0,Q154)))))</f>
        <v>0.2616</v>
      </c>
      <c r="V154" s="16" t="n">
        <v>70</v>
      </c>
    </row>
    <row r="155" customFormat="false" ht="15" hidden="false" customHeight="false" outlineLevel="0" collapsed="false">
      <c r="A155" s="8" t="n">
        <v>150</v>
      </c>
      <c r="B155" s="8" t="s">
        <v>180</v>
      </c>
      <c r="C155" s="8" t="s">
        <v>915</v>
      </c>
      <c r="D155" s="8" t="s">
        <v>99</v>
      </c>
      <c r="E155" s="5" t="s">
        <v>920</v>
      </c>
      <c r="F155" s="9" t="s">
        <v>921</v>
      </c>
      <c r="G155" s="10" t="s">
        <v>922</v>
      </c>
      <c r="H155" s="10" t="s">
        <v>923</v>
      </c>
      <c r="I155" s="10" t="n">
        <v>1</v>
      </c>
      <c r="J155" s="11" t="n">
        <v>100</v>
      </c>
      <c r="K155" s="10" t="s">
        <v>555</v>
      </c>
      <c r="L155" s="12" t="n">
        <v>7.5</v>
      </c>
      <c r="M155" s="13" t="n">
        <f aca="false">IF(L155="","",L155*$C$2)</f>
        <v>8.175</v>
      </c>
      <c r="N155" s="5" t="s">
        <v>918</v>
      </c>
      <c r="O155" s="11" t="n">
        <v>25</v>
      </c>
      <c r="P155" s="14" t="n">
        <v>1</v>
      </c>
      <c r="Q155" s="15" t="n">
        <v>0</v>
      </c>
      <c r="R155" s="5" t="s">
        <v>924</v>
      </c>
      <c r="S155" s="10" t="s">
        <v>395</v>
      </c>
      <c r="T155" s="10" t="s">
        <v>409</v>
      </c>
      <c r="U155" s="13" t="n">
        <f aca="false">IF(OR(O155="",M155="",J155=""),"",IF(OR(D155="Coverage",D155="Thickness"),M155/J155*O155*IF(P155="",1,P155)*(1+IF(Q155="",0,Q155)),IF(O155=0,"",M155/O155*IF(P155="",1,P155)*(1+IF(Q155="",0,Q155)))))</f>
        <v>0.327</v>
      </c>
      <c r="V155" s="16" t="n">
        <v>-172</v>
      </c>
    </row>
    <row r="156" customFormat="false" ht="23.85" hidden="false" customHeight="false" outlineLevel="0" collapsed="false">
      <c r="A156" s="8" t="n">
        <v>151</v>
      </c>
      <c r="B156" s="8" t="s">
        <v>180</v>
      </c>
      <c r="C156" s="8" t="s">
        <v>915</v>
      </c>
      <c r="D156" s="8" t="s">
        <v>99</v>
      </c>
      <c r="E156" s="5" t="s">
        <v>925</v>
      </c>
      <c r="F156" s="9" t="s">
        <v>926</v>
      </c>
      <c r="G156" s="10" t="s">
        <v>927</v>
      </c>
      <c r="H156" s="10"/>
      <c r="I156" s="10" t="n">
        <v>1</v>
      </c>
      <c r="J156" s="11" t="n">
        <v>300</v>
      </c>
      <c r="K156" s="10" t="s">
        <v>555</v>
      </c>
      <c r="L156" s="12" t="n">
        <v>75</v>
      </c>
      <c r="M156" s="13" t="n">
        <f aca="false">IF(L156="","",L156*$C$2)</f>
        <v>81.75</v>
      </c>
      <c r="N156" s="5" t="s">
        <v>918</v>
      </c>
      <c r="O156" s="11" t="n">
        <v>75</v>
      </c>
      <c r="P156" s="14" t="n">
        <v>1</v>
      </c>
      <c r="Q156" s="15" t="n">
        <v>0</v>
      </c>
      <c r="R156" s="5" t="s">
        <v>928</v>
      </c>
      <c r="S156" s="10" t="s">
        <v>395</v>
      </c>
      <c r="T156" s="10" t="s">
        <v>409</v>
      </c>
      <c r="U156" s="13" t="n">
        <f aca="false">IF(OR(O156="",M156="",J156=""),"",IF(OR(D156="Coverage",D156="Thickness"),M156/J156*O156*IF(P156="",1,P156)*(1+IF(Q156="",0,Q156)),IF(O156=0,"",M156/O156*IF(P156="",1,P156)*(1+IF(Q156="",0,Q156)))))</f>
        <v>1.09</v>
      </c>
      <c r="V156" s="16" t="n">
        <v>3</v>
      </c>
    </row>
    <row r="157" customFormat="false" ht="15" hidden="false" customHeight="false" outlineLevel="0" collapsed="false">
      <c r="A157" s="8" t="n">
        <v>152</v>
      </c>
      <c r="B157" s="8" t="s">
        <v>180</v>
      </c>
      <c r="C157" s="8" t="s">
        <v>915</v>
      </c>
      <c r="D157" s="8" t="s">
        <v>55</v>
      </c>
      <c r="E157" s="5" t="s">
        <v>929</v>
      </c>
      <c r="F157" s="9" t="s">
        <v>930</v>
      </c>
      <c r="G157" s="10" t="s">
        <v>931</v>
      </c>
      <c r="H157" s="10" t="s">
        <v>391</v>
      </c>
      <c r="I157" s="10" t="n">
        <v>1</v>
      </c>
      <c r="J157" s="21"/>
      <c r="K157" s="22"/>
      <c r="L157" s="12" t="n">
        <v>370</v>
      </c>
      <c r="M157" s="13" t="n">
        <f aca="false">IF(L157="","",L157*$C$2)</f>
        <v>403.3</v>
      </c>
      <c r="N157" s="5" t="s">
        <v>605</v>
      </c>
      <c r="O157" s="29" t="n">
        <v>15</v>
      </c>
      <c r="P157" s="30" t="n">
        <v>1</v>
      </c>
      <c r="Q157" s="31" t="n">
        <v>0.05</v>
      </c>
      <c r="R157" s="5" t="s">
        <v>932</v>
      </c>
      <c r="S157" s="10" t="s">
        <v>395</v>
      </c>
      <c r="T157" s="32" t="s">
        <v>417</v>
      </c>
      <c r="U157" s="13" t="str">
        <f aca="false">IF(OR(O157="",M157="",J157=""),"",IF(OR(D157="Coverage",D157="Thickness"),M157/J157*O157*IF(P157="",1,P157)*(1+IF(Q157="",0,Q157)),IF(O157=0,"",M157/O157*IF(P157="",1,P157)*(1+IF(Q157="",0,Q157)))))</f>
        <v/>
      </c>
      <c r="V157" s="16" t="n">
        <v>0</v>
      </c>
    </row>
    <row r="158" customFormat="false" ht="15" hidden="false" customHeight="false" outlineLevel="0" collapsed="false">
      <c r="A158" s="8" t="n">
        <v>153</v>
      </c>
      <c r="B158" s="8" t="s">
        <v>180</v>
      </c>
      <c r="C158" s="8" t="s">
        <v>933</v>
      </c>
      <c r="D158" s="8" t="s">
        <v>44</v>
      </c>
      <c r="E158" s="5" t="s">
        <v>934</v>
      </c>
      <c r="F158" s="9" t="s">
        <v>935</v>
      </c>
      <c r="G158" s="10"/>
      <c r="H158" s="10" t="s">
        <v>936</v>
      </c>
      <c r="I158" s="10" t="n">
        <v>1</v>
      </c>
      <c r="J158" s="21"/>
      <c r="K158" s="22"/>
      <c r="L158" s="12" t="n">
        <v>240</v>
      </c>
      <c r="M158" s="13" t="n">
        <f aca="false">IF(L158="","",L158*$C$2)</f>
        <v>261.6</v>
      </c>
      <c r="N158" s="5" t="s">
        <v>937</v>
      </c>
      <c r="O158" s="29" t="n">
        <v>20</v>
      </c>
      <c r="P158" s="30" t="n">
        <v>1</v>
      </c>
      <c r="Q158" s="31" t="n">
        <v>0</v>
      </c>
      <c r="R158" s="5" t="s">
        <v>938</v>
      </c>
      <c r="S158" s="10" t="s">
        <v>395</v>
      </c>
      <c r="T158" s="32" t="s">
        <v>417</v>
      </c>
      <c r="U158" s="13" t="str">
        <f aca="false">IF(OR(O158="",M158="",J158=""),"",IF(OR(D158="Coverage",D158="Thickness"),M158/J158*O158*IF(P158="",1,P158)*(1+IF(Q158="",0,Q158)),IF(O158=0,"",M158/O158*IF(P158="",1,P158)*(1+IF(Q158="",0,Q158)))))</f>
        <v/>
      </c>
      <c r="V158" s="16" t="n">
        <v>0</v>
      </c>
    </row>
    <row r="159" customFormat="false" ht="15" hidden="false" customHeight="false" outlineLevel="0" collapsed="false">
      <c r="A159" s="17" t="n">
        <v>154</v>
      </c>
      <c r="B159" s="17" t="s">
        <v>180</v>
      </c>
      <c r="C159" s="17" t="s">
        <v>786</v>
      </c>
      <c r="D159" s="17" t="s">
        <v>44</v>
      </c>
      <c r="E159" s="18" t="s">
        <v>939</v>
      </c>
      <c r="F159" s="19" t="s">
        <v>463</v>
      </c>
      <c r="G159" s="20"/>
      <c r="H159" s="20"/>
      <c r="I159" s="20"/>
      <c r="J159" s="21"/>
      <c r="K159" s="22"/>
      <c r="L159" s="23"/>
      <c r="M159" s="24" t="str">
        <f aca="false">IF(L159="","",L159*$C$2)</f>
        <v/>
      </c>
      <c r="N159" s="18" t="s">
        <v>393</v>
      </c>
      <c r="O159" s="25" t="n">
        <v>4.5</v>
      </c>
      <c r="P159" s="26" t="n">
        <v>1</v>
      </c>
      <c r="Q159" s="27" t="n">
        <v>0.05</v>
      </c>
      <c r="R159" s="18" t="s">
        <v>940</v>
      </c>
      <c r="S159" s="20" t="s">
        <v>395</v>
      </c>
      <c r="T159" s="20" t="s">
        <v>409</v>
      </c>
      <c r="U159" s="24" t="str">
        <f aca="false">IF(OR(O159="",M159="",J159=""),"",IF(OR(D159="Coverage",D159="Thickness"),M159/J159*O159*IF(P159="",1,P159)*(1+IF(Q159="",0,Q159)),IF(O159=0,"",M159/O159*IF(P159="",1,P159)*(1+IF(Q159="",0,Q159)))))</f>
        <v/>
      </c>
      <c r="V159" s="28"/>
    </row>
    <row r="160" customFormat="false" ht="15" hidden="false" customHeight="false" outlineLevel="0" collapsed="false">
      <c r="A160" s="17" t="n">
        <v>155</v>
      </c>
      <c r="B160" s="17" t="s">
        <v>180</v>
      </c>
      <c r="C160" s="17" t="s">
        <v>786</v>
      </c>
      <c r="D160" s="17" t="s">
        <v>44</v>
      </c>
      <c r="E160" s="18" t="s">
        <v>941</v>
      </c>
      <c r="F160" s="19" t="s">
        <v>463</v>
      </c>
      <c r="G160" s="20"/>
      <c r="H160" s="20"/>
      <c r="I160" s="20"/>
      <c r="J160" s="21"/>
      <c r="K160" s="22"/>
      <c r="L160" s="23"/>
      <c r="M160" s="24" t="str">
        <f aca="false">IF(L160="","",L160*$C$2)</f>
        <v/>
      </c>
      <c r="N160" s="18" t="s">
        <v>393</v>
      </c>
      <c r="O160" s="25" t="n">
        <v>4.5</v>
      </c>
      <c r="P160" s="26" t="n">
        <v>1</v>
      </c>
      <c r="Q160" s="27" t="n">
        <v>0.05</v>
      </c>
      <c r="R160" s="18" t="s">
        <v>942</v>
      </c>
      <c r="S160" s="20" t="s">
        <v>395</v>
      </c>
      <c r="T160" s="20" t="s">
        <v>409</v>
      </c>
      <c r="U160" s="24" t="str">
        <f aca="false">IF(OR(O160="",M160="",J160=""),"",IF(OR(D160="Coverage",D160="Thickness"),M160/J160*O160*IF(P160="",1,P160)*(1+IF(Q160="",0,Q160)),IF(O160=0,"",M160/O160*IF(P160="",1,P160)*(1+IF(Q160="",0,Q160)))))</f>
        <v/>
      </c>
      <c r="V160" s="28"/>
    </row>
    <row r="161" customFormat="false" ht="15" hidden="false" customHeight="false" outlineLevel="0" collapsed="false">
      <c r="A161" s="8" t="n">
        <v>156</v>
      </c>
      <c r="B161" s="8" t="s">
        <v>943</v>
      </c>
      <c r="C161" s="8" t="s">
        <v>227</v>
      </c>
      <c r="D161" s="8" t="s">
        <v>73</v>
      </c>
      <c r="E161" s="5" t="s">
        <v>944</v>
      </c>
      <c r="F161" s="9" t="s">
        <v>945</v>
      </c>
      <c r="G161" s="10" t="s">
        <v>946</v>
      </c>
      <c r="H161" s="10" t="s">
        <v>391</v>
      </c>
      <c r="I161" s="10" t="n">
        <v>1</v>
      </c>
      <c r="J161" s="11" t="n">
        <v>20</v>
      </c>
      <c r="K161" s="10" t="s">
        <v>392</v>
      </c>
      <c r="L161" s="12" t="n">
        <v>324</v>
      </c>
      <c r="M161" s="13" t="n">
        <f aca="false">IF(L161="","",L161*$C$2)</f>
        <v>353.16</v>
      </c>
      <c r="N161" s="5" t="s">
        <v>431</v>
      </c>
      <c r="O161" s="11" t="n">
        <v>1.5</v>
      </c>
      <c r="P161" s="14" t="n">
        <v>2</v>
      </c>
      <c r="Q161" s="15" t="n">
        <v>0.05</v>
      </c>
      <c r="R161" s="5" t="s">
        <v>947</v>
      </c>
      <c r="S161" s="10" t="s">
        <v>395</v>
      </c>
      <c r="T161" s="10" t="s">
        <v>396</v>
      </c>
      <c r="U161" s="13" t="n">
        <f aca="false">IF(OR(O161="",M161="",J161=""),"",IF(OR(D161="Coverage",D161="Thickness"),M161/J161*O161*IF(P161="",1,P161)*(1+IF(Q161="",0,Q161)),IF(O161=0,"",M161/O161*IF(P161="",1,P161)*(1+IF(Q161="",0,Q161)))))</f>
        <v>55.6227</v>
      </c>
      <c r="V161" s="16" t="n">
        <v>0</v>
      </c>
    </row>
    <row r="162" customFormat="false" ht="15" hidden="false" customHeight="false" outlineLevel="0" collapsed="false">
      <c r="A162" s="8" t="n">
        <v>157</v>
      </c>
      <c r="B162" s="8" t="s">
        <v>943</v>
      </c>
      <c r="C162" s="8" t="s">
        <v>227</v>
      </c>
      <c r="D162" s="8" t="s">
        <v>73</v>
      </c>
      <c r="E162" s="5" t="s">
        <v>948</v>
      </c>
      <c r="F162" s="9" t="s">
        <v>949</v>
      </c>
      <c r="G162" s="10" t="s">
        <v>950</v>
      </c>
      <c r="H162" s="10" t="s">
        <v>391</v>
      </c>
      <c r="I162" s="10" t="n">
        <v>1</v>
      </c>
      <c r="J162" s="11" t="n">
        <v>20</v>
      </c>
      <c r="K162" s="10" t="s">
        <v>392</v>
      </c>
      <c r="L162" s="12" t="n">
        <v>327.6</v>
      </c>
      <c r="M162" s="13" t="n">
        <f aca="false">IF(L162="","",L162*$C$2)</f>
        <v>357.084</v>
      </c>
      <c r="N162" s="5" t="s">
        <v>431</v>
      </c>
      <c r="O162" s="11" t="n">
        <v>1.2</v>
      </c>
      <c r="P162" s="14" t="n">
        <v>1</v>
      </c>
      <c r="Q162" s="15" t="n">
        <v>0.05</v>
      </c>
      <c r="R162" s="5" t="s">
        <v>951</v>
      </c>
      <c r="S162" s="10" t="s">
        <v>395</v>
      </c>
      <c r="T162" s="10" t="s">
        <v>396</v>
      </c>
      <c r="U162" s="13" t="n">
        <f aca="false">IF(OR(O162="",M162="",J162=""),"",IF(OR(D162="Coverage",D162="Thickness"),M162/J162*O162*IF(P162="",1,P162)*(1+IF(Q162="",0,Q162)),IF(O162=0,"",M162/O162*IF(P162="",1,P162)*(1+IF(Q162="",0,Q162)))))</f>
        <v>22.496292</v>
      </c>
      <c r="V162" s="16" t="n">
        <v>0</v>
      </c>
    </row>
    <row r="163" customFormat="false" ht="15" hidden="false" customHeight="false" outlineLevel="0" collapsed="false">
      <c r="A163" s="8" t="n">
        <v>158</v>
      </c>
      <c r="B163" s="8" t="s">
        <v>943</v>
      </c>
      <c r="C163" s="8" t="s">
        <v>227</v>
      </c>
      <c r="D163" s="8" t="s">
        <v>73</v>
      </c>
      <c r="E163" s="5" t="s">
        <v>952</v>
      </c>
      <c r="F163" s="9" t="s">
        <v>953</v>
      </c>
      <c r="G163" s="10"/>
      <c r="H163" s="10" t="s">
        <v>426</v>
      </c>
      <c r="I163" s="10" t="n">
        <v>1</v>
      </c>
      <c r="J163" s="21"/>
      <c r="K163" s="22"/>
      <c r="L163" s="12" t="n">
        <v>105</v>
      </c>
      <c r="M163" s="13" t="n">
        <f aca="false">IF(L163="","",L163*$C$2)</f>
        <v>114.45</v>
      </c>
      <c r="N163" s="5" t="s">
        <v>431</v>
      </c>
      <c r="O163" s="29" t="n">
        <v>1.4</v>
      </c>
      <c r="P163" s="30" t="n">
        <v>3</v>
      </c>
      <c r="Q163" s="31" t="n">
        <v>0.05</v>
      </c>
      <c r="R163" s="5" t="s">
        <v>954</v>
      </c>
      <c r="S163" s="10" t="s">
        <v>395</v>
      </c>
      <c r="T163" s="32" t="s">
        <v>417</v>
      </c>
      <c r="U163" s="13" t="str">
        <f aca="false">IF(OR(O163="",M163="",J163=""),"",IF(OR(D163="Coverage",D163="Thickness"),M163/J163*O163*IF(P163="",1,P163)*(1+IF(Q163="",0,Q163)),IF(O163=0,"",M163/O163*IF(P163="",1,P163)*(1+IF(Q163="",0,Q163)))))</f>
        <v/>
      </c>
      <c r="V163" s="16" t="n">
        <v>0</v>
      </c>
    </row>
    <row r="164" customFormat="false" ht="15" hidden="false" customHeight="false" outlineLevel="0" collapsed="false">
      <c r="A164" s="8" t="n">
        <v>159</v>
      </c>
      <c r="B164" s="8" t="s">
        <v>943</v>
      </c>
      <c r="C164" s="8" t="s">
        <v>955</v>
      </c>
      <c r="D164" s="8" t="s">
        <v>73</v>
      </c>
      <c r="E164" s="5" t="s">
        <v>956</v>
      </c>
      <c r="F164" s="9" t="s">
        <v>957</v>
      </c>
      <c r="G164" s="10" t="s">
        <v>958</v>
      </c>
      <c r="H164" s="10" t="s">
        <v>391</v>
      </c>
      <c r="I164" s="10" t="n">
        <v>1</v>
      </c>
      <c r="J164" s="11" t="n">
        <v>25</v>
      </c>
      <c r="K164" s="10" t="s">
        <v>392</v>
      </c>
      <c r="L164" s="12" t="n">
        <v>190.25</v>
      </c>
      <c r="M164" s="13" t="n">
        <f aca="false">IF(L164="","",L164*$C$2)</f>
        <v>207.3725</v>
      </c>
      <c r="N164" s="5" t="s">
        <v>431</v>
      </c>
      <c r="O164" s="11" t="n">
        <v>1.7</v>
      </c>
      <c r="P164" s="14" t="n">
        <v>10</v>
      </c>
      <c r="Q164" s="15" t="n">
        <v>0.05</v>
      </c>
      <c r="R164" s="5" t="s">
        <v>735</v>
      </c>
      <c r="S164" s="10" t="s">
        <v>395</v>
      </c>
      <c r="T164" s="10" t="s">
        <v>396</v>
      </c>
      <c r="U164" s="13" t="n">
        <f aca="false">IF(OR(O164="",M164="",J164=""),"",IF(OR(D164="Coverage",D164="Thickness"),M164/J164*O164*IF(P164="",1,P164)*(1+IF(Q164="",0,Q164)),IF(O164=0,"",M164/O164*IF(P164="",1,P164)*(1+IF(Q164="",0,Q164)))))</f>
        <v>148.063965</v>
      </c>
      <c r="V164" s="16" t="n">
        <v>0</v>
      </c>
    </row>
    <row r="165" customFormat="false" ht="15" hidden="false" customHeight="false" outlineLevel="0" collapsed="false">
      <c r="A165" s="8" t="n">
        <v>160</v>
      </c>
      <c r="B165" s="8" t="s">
        <v>943</v>
      </c>
      <c r="C165" s="8" t="s">
        <v>955</v>
      </c>
      <c r="D165" s="8" t="s">
        <v>73</v>
      </c>
      <c r="E165" s="5" t="s">
        <v>959</v>
      </c>
      <c r="F165" s="9" t="s">
        <v>960</v>
      </c>
      <c r="G165" s="10" t="s">
        <v>961</v>
      </c>
      <c r="H165" s="10" t="s">
        <v>391</v>
      </c>
      <c r="I165" s="10" t="n">
        <v>1</v>
      </c>
      <c r="J165" s="11" t="n">
        <v>25</v>
      </c>
      <c r="K165" s="10" t="s">
        <v>392</v>
      </c>
      <c r="L165" s="12" t="n">
        <v>146.25</v>
      </c>
      <c r="M165" s="13" t="n">
        <f aca="false">IF(L165="","",L165*$C$2)</f>
        <v>159.4125</v>
      </c>
      <c r="N165" s="5" t="s">
        <v>431</v>
      </c>
      <c r="O165" s="11" t="n">
        <v>1.4</v>
      </c>
      <c r="P165" s="14" t="n">
        <v>10</v>
      </c>
      <c r="Q165" s="15" t="n">
        <v>0.05</v>
      </c>
      <c r="R165" s="5" t="s">
        <v>962</v>
      </c>
      <c r="S165" s="10" t="s">
        <v>395</v>
      </c>
      <c r="T165" s="10" t="s">
        <v>409</v>
      </c>
      <c r="U165" s="13" t="n">
        <f aca="false">IF(OR(O165="",M165="",J165=""),"",IF(OR(D165="Coverage",D165="Thickness"),M165/J165*O165*IF(P165="",1,P165)*(1+IF(Q165="",0,Q165)),IF(O165=0,"",M165/O165*IF(P165="",1,P165)*(1+IF(Q165="",0,Q165)))))</f>
        <v>93.73455</v>
      </c>
      <c r="V165" s="16" t="n">
        <v>0</v>
      </c>
    </row>
    <row r="166" customFormat="false" ht="15" hidden="false" customHeight="false" outlineLevel="0" collapsed="false">
      <c r="A166" s="8" t="n">
        <v>161</v>
      </c>
      <c r="B166" s="8" t="s">
        <v>943</v>
      </c>
      <c r="C166" s="8" t="s">
        <v>955</v>
      </c>
      <c r="D166" s="8" t="s">
        <v>73</v>
      </c>
      <c r="E166" s="5" t="s">
        <v>963</v>
      </c>
      <c r="F166" s="9" t="s">
        <v>964</v>
      </c>
      <c r="G166" s="10" t="s">
        <v>965</v>
      </c>
      <c r="H166" s="10" t="s">
        <v>391</v>
      </c>
      <c r="I166" s="10" t="n">
        <v>1</v>
      </c>
      <c r="J166" s="11" t="n">
        <v>25</v>
      </c>
      <c r="K166" s="10" t="s">
        <v>392</v>
      </c>
      <c r="L166" s="12" t="n">
        <v>219.5</v>
      </c>
      <c r="M166" s="13" t="n">
        <f aca="false">IF(L166="","",L166*$C$2)</f>
        <v>239.255</v>
      </c>
      <c r="N166" s="5" t="s">
        <v>431</v>
      </c>
      <c r="O166" s="11" t="n">
        <v>1.7</v>
      </c>
      <c r="P166" s="14" t="n">
        <v>10</v>
      </c>
      <c r="Q166" s="15" t="n">
        <v>0.05</v>
      </c>
      <c r="R166" s="5" t="s">
        <v>962</v>
      </c>
      <c r="S166" s="10" t="s">
        <v>395</v>
      </c>
      <c r="T166" s="10" t="s">
        <v>409</v>
      </c>
      <c r="U166" s="13" t="n">
        <f aca="false">IF(OR(O166="",M166="",J166=""),"",IF(OR(D166="Coverage",D166="Thickness"),M166/J166*O166*IF(P166="",1,P166)*(1+IF(Q166="",0,Q166)),IF(O166=0,"",M166/O166*IF(P166="",1,P166)*(1+IF(Q166="",0,Q166)))))</f>
        <v>170.82807</v>
      </c>
      <c r="V166" s="16" t="n">
        <v>0</v>
      </c>
    </row>
    <row r="167" customFormat="false" ht="15" hidden="false" customHeight="false" outlineLevel="0" collapsed="false">
      <c r="A167" s="8" t="n">
        <v>162</v>
      </c>
      <c r="B167" s="8" t="s">
        <v>943</v>
      </c>
      <c r="C167" s="8" t="s">
        <v>955</v>
      </c>
      <c r="D167" s="8" t="s">
        <v>73</v>
      </c>
      <c r="E167" s="5" t="s">
        <v>966</v>
      </c>
      <c r="F167" s="9" t="s">
        <v>967</v>
      </c>
      <c r="G167" s="10" t="s">
        <v>968</v>
      </c>
      <c r="H167" s="10" t="s">
        <v>391</v>
      </c>
      <c r="I167" s="10" t="n">
        <v>1</v>
      </c>
      <c r="J167" s="11" t="n">
        <v>10</v>
      </c>
      <c r="K167" s="10" t="s">
        <v>392</v>
      </c>
      <c r="L167" s="12" t="n">
        <v>210.6</v>
      </c>
      <c r="M167" s="13" t="n">
        <f aca="false">IF(L167="","",L167*$C$2)</f>
        <v>229.554</v>
      </c>
      <c r="N167" s="5" t="s">
        <v>444</v>
      </c>
      <c r="O167" s="11" t="n">
        <v>1.5</v>
      </c>
      <c r="P167" s="14" t="n">
        <v>1</v>
      </c>
      <c r="Q167" s="15" t="n">
        <v>0.05</v>
      </c>
      <c r="R167" s="5" t="s">
        <v>969</v>
      </c>
      <c r="S167" s="10" t="s">
        <v>395</v>
      </c>
      <c r="T167" s="10" t="s">
        <v>409</v>
      </c>
      <c r="U167" s="13" t="n">
        <f aca="false">IF(OR(O167="",M167="",J167=""),"",IF(OR(D167="Coverage",D167="Thickness"),M167/J167*O167*IF(P167="",1,P167)*(1+IF(Q167="",0,Q167)),IF(O167=0,"",M167/O167*IF(P167="",1,P167)*(1+IF(Q167="",0,Q167)))))</f>
        <v>36.154755</v>
      </c>
      <c r="V167" s="16" t="n">
        <v>0</v>
      </c>
    </row>
    <row r="168" customFormat="false" ht="15" hidden="false" customHeight="false" outlineLevel="0" collapsed="false">
      <c r="A168" s="8" t="n">
        <v>163</v>
      </c>
      <c r="B168" s="8" t="s">
        <v>943</v>
      </c>
      <c r="C168" s="8" t="s">
        <v>955</v>
      </c>
      <c r="D168" s="8" t="s">
        <v>44</v>
      </c>
      <c r="E168" s="5" t="s">
        <v>970</v>
      </c>
      <c r="F168" s="9" t="s">
        <v>971</v>
      </c>
      <c r="G168" s="10" t="s">
        <v>972</v>
      </c>
      <c r="H168" s="10" t="s">
        <v>391</v>
      </c>
      <c r="I168" s="10" t="n">
        <v>1</v>
      </c>
      <c r="J168" s="11" t="n">
        <v>10</v>
      </c>
      <c r="K168" s="10" t="s">
        <v>392</v>
      </c>
      <c r="L168" s="12" t="n">
        <v>378</v>
      </c>
      <c r="M168" s="13" t="n">
        <f aca="false">IF(L168="","",L168*$C$2)</f>
        <v>412.02</v>
      </c>
      <c r="N168" s="5" t="s">
        <v>393</v>
      </c>
      <c r="O168" s="11" t="n">
        <v>0.3</v>
      </c>
      <c r="P168" s="14" t="n">
        <v>1</v>
      </c>
      <c r="Q168" s="15" t="n">
        <v>0.05</v>
      </c>
      <c r="R168" s="5"/>
      <c r="S168" s="10" t="s">
        <v>395</v>
      </c>
      <c r="T168" s="10" t="s">
        <v>409</v>
      </c>
      <c r="U168" s="13" t="n">
        <f aca="false">IF(OR(O168="",M168="",J168=""),"",IF(OR(D168="Coverage",D168="Thickness"),M168/J168*O168*IF(P168="",1,P168)*(1+IF(Q168="",0,Q168)),IF(O168=0,"",M168/O168*IF(P168="",1,P168)*(1+IF(Q168="",0,Q168)))))</f>
        <v>12.97863</v>
      </c>
      <c r="V168" s="16" t="n">
        <v>8</v>
      </c>
    </row>
    <row r="169" customFormat="false" ht="15" hidden="false" customHeight="false" outlineLevel="0" collapsed="false">
      <c r="A169" s="8" t="n">
        <v>164</v>
      </c>
      <c r="B169" s="8" t="s">
        <v>943</v>
      </c>
      <c r="C169" s="8" t="s">
        <v>955</v>
      </c>
      <c r="D169" s="8" t="s">
        <v>44</v>
      </c>
      <c r="E169" s="5" t="s">
        <v>973</v>
      </c>
      <c r="F169" s="9" t="s">
        <v>974</v>
      </c>
      <c r="G169" s="10" t="s">
        <v>975</v>
      </c>
      <c r="H169" s="10" t="s">
        <v>391</v>
      </c>
      <c r="I169" s="10" t="n">
        <v>1</v>
      </c>
      <c r="J169" s="11" t="n">
        <v>1.5</v>
      </c>
      <c r="K169" s="10" t="s">
        <v>417</v>
      </c>
      <c r="L169" s="12" t="n">
        <v>32.76</v>
      </c>
      <c r="M169" s="13" t="n">
        <f aca="false">IF(L169="","",L169*$C$2)</f>
        <v>35.7084</v>
      </c>
      <c r="N169" s="5" t="s">
        <v>976</v>
      </c>
      <c r="O169" s="11" t="n">
        <v>1</v>
      </c>
      <c r="P169" s="14" t="n">
        <v>1</v>
      </c>
      <c r="Q169" s="15" t="n">
        <v>0</v>
      </c>
      <c r="R169" s="5" t="s">
        <v>977</v>
      </c>
      <c r="S169" s="10" t="s">
        <v>395</v>
      </c>
      <c r="T169" s="10" t="s">
        <v>396</v>
      </c>
      <c r="U169" s="13" t="n">
        <f aca="false">IF(OR(O169="",M169="",J169=""),"",IF(OR(D169="Coverage",D169="Thickness"),M169/J169*O169*IF(P169="",1,P169)*(1+IF(Q169="",0,Q169)),IF(O169=0,"",M169/O169*IF(P169="",1,P169)*(1+IF(Q169="",0,Q169)))))</f>
        <v>23.8056</v>
      </c>
      <c r="V169" s="16" t="n">
        <v>0</v>
      </c>
    </row>
    <row r="170" customFormat="false" ht="15" hidden="false" customHeight="false" outlineLevel="0" collapsed="false">
      <c r="A170" s="8" t="n">
        <v>165</v>
      </c>
      <c r="B170" s="8" t="s">
        <v>943</v>
      </c>
      <c r="C170" s="8" t="s">
        <v>978</v>
      </c>
      <c r="D170" s="8" t="s">
        <v>44</v>
      </c>
      <c r="E170" s="5" t="s">
        <v>979</v>
      </c>
      <c r="F170" s="9" t="s">
        <v>980</v>
      </c>
      <c r="G170" s="10" t="s">
        <v>981</v>
      </c>
      <c r="H170" s="10" t="s">
        <v>391</v>
      </c>
      <c r="I170" s="10" t="n">
        <v>1</v>
      </c>
      <c r="J170" s="11" t="n">
        <v>10</v>
      </c>
      <c r="K170" s="10" t="s">
        <v>392</v>
      </c>
      <c r="L170" s="12" t="n">
        <v>445.5</v>
      </c>
      <c r="M170" s="13" t="n">
        <f aca="false">IF(L170="","",L170*$C$2)</f>
        <v>485.595</v>
      </c>
      <c r="N170" s="5" t="s">
        <v>444</v>
      </c>
      <c r="O170" s="11" t="n">
        <v>0.1</v>
      </c>
      <c r="P170" s="14" t="n">
        <v>2</v>
      </c>
      <c r="Q170" s="15" t="n">
        <v>0.05</v>
      </c>
      <c r="R170" s="5" t="s">
        <v>445</v>
      </c>
      <c r="S170" s="10" t="s">
        <v>395</v>
      </c>
      <c r="T170" s="10" t="s">
        <v>409</v>
      </c>
      <c r="U170" s="13" t="n">
        <f aca="false">IF(OR(O170="",M170="",J170=""),"",IF(OR(D170="Coverage",D170="Thickness"),M170/J170*O170*IF(P170="",1,P170)*(1+IF(Q170="",0,Q170)),IF(O170=0,"",M170/O170*IF(P170="",1,P170)*(1+IF(Q170="",0,Q170)))))</f>
        <v>10.197495</v>
      </c>
      <c r="V170" s="16" t="n">
        <v>5</v>
      </c>
    </row>
    <row r="171" customFormat="false" ht="15" hidden="false" customHeight="false" outlineLevel="0" collapsed="false">
      <c r="A171" s="8" t="n">
        <v>166</v>
      </c>
      <c r="B171" s="8" t="s">
        <v>943</v>
      </c>
      <c r="C171" s="8" t="s">
        <v>978</v>
      </c>
      <c r="D171" s="8" t="s">
        <v>44</v>
      </c>
      <c r="E171" s="5" t="s">
        <v>982</v>
      </c>
      <c r="F171" s="9" t="s">
        <v>983</v>
      </c>
      <c r="G171" s="10" t="s">
        <v>984</v>
      </c>
      <c r="H171" s="10" t="s">
        <v>391</v>
      </c>
      <c r="I171" s="10" t="n">
        <v>1</v>
      </c>
      <c r="J171" s="11" t="n">
        <v>10</v>
      </c>
      <c r="K171" s="10" t="s">
        <v>392</v>
      </c>
      <c r="L171" s="12" t="n">
        <v>486</v>
      </c>
      <c r="M171" s="13" t="n">
        <f aca="false">IF(L171="","",L171*$C$2)</f>
        <v>529.74</v>
      </c>
      <c r="N171" s="5" t="s">
        <v>444</v>
      </c>
      <c r="O171" s="11" t="n">
        <v>0.1</v>
      </c>
      <c r="P171" s="14" t="n">
        <v>2</v>
      </c>
      <c r="Q171" s="15" t="n">
        <v>0.05</v>
      </c>
      <c r="R171" s="5" t="s">
        <v>445</v>
      </c>
      <c r="S171" s="10" t="s">
        <v>395</v>
      </c>
      <c r="T171" s="10" t="s">
        <v>409</v>
      </c>
      <c r="U171" s="13" t="n">
        <f aca="false">IF(OR(O171="",M171="",J171=""),"",IF(OR(D171="Coverage",D171="Thickness"),M171/J171*O171*IF(P171="",1,P171)*(1+IF(Q171="",0,Q171)),IF(O171=0,"",M171/O171*IF(P171="",1,P171)*(1+IF(Q171="",0,Q171)))))</f>
        <v>11.12454</v>
      </c>
      <c r="V171" s="16" t="n">
        <v>1</v>
      </c>
    </row>
    <row r="172" customFormat="false" ht="23.85" hidden="false" customHeight="false" outlineLevel="0" collapsed="false">
      <c r="A172" s="8" t="n">
        <v>167</v>
      </c>
      <c r="B172" s="8" t="s">
        <v>943</v>
      </c>
      <c r="C172" s="8" t="s">
        <v>978</v>
      </c>
      <c r="D172" s="8" t="s">
        <v>44</v>
      </c>
      <c r="E172" s="5" t="s">
        <v>985</v>
      </c>
      <c r="F172" s="9" t="s">
        <v>651</v>
      </c>
      <c r="G172" s="10" t="s">
        <v>652</v>
      </c>
      <c r="H172" s="10" t="s">
        <v>391</v>
      </c>
      <c r="I172" s="10" t="n">
        <v>1</v>
      </c>
      <c r="J172" s="11" t="n">
        <v>5.5</v>
      </c>
      <c r="K172" s="10" t="s">
        <v>392</v>
      </c>
      <c r="L172" s="12" t="n">
        <v>410.1</v>
      </c>
      <c r="M172" s="13" t="n">
        <f aca="false">IF(L172="","",L172*$C$2)</f>
        <v>447.009</v>
      </c>
      <c r="N172" s="5" t="s">
        <v>444</v>
      </c>
      <c r="O172" s="11" t="n">
        <v>0.1</v>
      </c>
      <c r="P172" s="14" t="n">
        <v>2</v>
      </c>
      <c r="Q172" s="15" t="n">
        <v>0.05</v>
      </c>
      <c r="R172" s="5" t="s">
        <v>445</v>
      </c>
      <c r="S172" s="10" t="s">
        <v>395</v>
      </c>
      <c r="T172" s="10" t="s">
        <v>396</v>
      </c>
      <c r="U172" s="13" t="n">
        <f aca="false">IF(OR(O172="",M172="",J172=""),"",IF(OR(D172="Coverage",D172="Thickness"),M172/J172*O172*IF(P172="",1,P172)*(1+IF(Q172="",0,Q172)),IF(O172=0,"",M172/O172*IF(P172="",1,P172)*(1+IF(Q172="",0,Q172)))))</f>
        <v>17.0676163636364</v>
      </c>
      <c r="V172" s="16" t="n">
        <v>98</v>
      </c>
    </row>
    <row r="173" customFormat="false" ht="35.05" hidden="false" customHeight="false" outlineLevel="0" collapsed="false">
      <c r="A173" s="17" t="n">
        <v>168</v>
      </c>
      <c r="B173" s="17" t="s">
        <v>943</v>
      </c>
      <c r="C173" s="17" t="s">
        <v>986</v>
      </c>
      <c r="D173" s="17" t="s">
        <v>44</v>
      </c>
      <c r="E173" s="18" t="s">
        <v>987</v>
      </c>
      <c r="F173" s="19" t="s">
        <v>463</v>
      </c>
      <c r="G173" s="20"/>
      <c r="H173" s="20"/>
      <c r="I173" s="20"/>
      <c r="J173" s="21"/>
      <c r="K173" s="22"/>
      <c r="L173" s="23"/>
      <c r="M173" s="24" t="str">
        <f aca="false">IF(L173="","",L173*$C$2)</f>
        <v/>
      </c>
      <c r="N173" s="18" t="s">
        <v>444</v>
      </c>
      <c r="O173" s="21"/>
      <c r="P173" s="26"/>
      <c r="Q173" s="27"/>
      <c r="R173" s="18" t="s">
        <v>988</v>
      </c>
      <c r="S173" s="20" t="s">
        <v>395</v>
      </c>
      <c r="T173" s="20" t="s">
        <v>417</v>
      </c>
      <c r="U173" s="24" t="str">
        <f aca="false">IF(OR(O173="",M173="",J173=""),"",IF(OR(D173="Coverage",D173="Thickness"),M173/J173*O173*IF(P173="",1,P173)*(1+IF(Q173="",0,Q173)),IF(O173=0,"",M173/O173*IF(P173="",1,P173)*(1+IF(Q173="",0,Q173)))))</f>
        <v/>
      </c>
      <c r="V173" s="28"/>
    </row>
    <row r="174" customFormat="false" ht="23.85" hidden="false" customHeight="false" outlineLevel="0" collapsed="false">
      <c r="A174" s="17" t="n">
        <v>169</v>
      </c>
      <c r="B174" s="17" t="s">
        <v>943</v>
      </c>
      <c r="C174" s="17" t="s">
        <v>986</v>
      </c>
      <c r="D174" s="17" t="s">
        <v>44</v>
      </c>
      <c r="E174" s="18" t="s">
        <v>989</v>
      </c>
      <c r="F174" s="19" t="s">
        <v>463</v>
      </c>
      <c r="G174" s="20"/>
      <c r="H174" s="20"/>
      <c r="I174" s="20"/>
      <c r="J174" s="21"/>
      <c r="K174" s="22"/>
      <c r="L174" s="23"/>
      <c r="M174" s="24" t="str">
        <f aca="false">IF(L174="","",L174*$C$2)</f>
        <v/>
      </c>
      <c r="N174" s="18" t="s">
        <v>444</v>
      </c>
      <c r="O174" s="21"/>
      <c r="P174" s="26"/>
      <c r="Q174" s="27"/>
      <c r="R174" s="18" t="s">
        <v>990</v>
      </c>
      <c r="S174" s="20" t="s">
        <v>395</v>
      </c>
      <c r="T174" s="20" t="s">
        <v>417</v>
      </c>
      <c r="U174" s="24" t="str">
        <f aca="false">IF(OR(O174="",M174="",J174=""),"",IF(OR(D174="Coverage",D174="Thickness"),M174/J174*O174*IF(P174="",1,P174)*(1+IF(Q174="",0,Q174)),IF(O174=0,"",M174/O174*IF(P174="",1,P174)*(1+IF(Q174="",0,Q174)))))</f>
        <v/>
      </c>
      <c r="V174" s="28"/>
    </row>
    <row r="175" customFormat="false" ht="35.05" hidden="false" customHeight="false" outlineLevel="0" collapsed="false">
      <c r="A175" s="17" t="n">
        <v>170</v>
      </c>
      <c r="B175" s="17" t="s">
        <v>943</v>
      </c>
      <c r="C175" s="17" t="s">
        <v>986</v>
      </c>
      <c r="D175" s="17" t="s">
        <v>44</v>
      </c>
      <c r="E175" s="18" t="s">
        <v>991</v>
      </c>
      <c r="F175" s="19" t="s">
        <v>463</v>
      </c>
      <c r="G175" s="20"/>
      <c r="H175" s="20"/>
      <c r="I175" s="20"/>
      <c r="J175" s="21"/>
      <c r="K175" s="22"/>
      <c r="L175" s="23"/>
      <c r="M175" s="24" t="str">
        <f aca="false">IF(L175="","",L175*$C$2)</f>
        <v/>
      </c>
      <c r="N175" s="18" t="s">
        <v>992</v>
      </c>
      <c r="O175" s="25" t="n">
        <v>45</v>
      </c>
      <c r="P175" s="26" t="n">
        <v>1</v>
      </c>
      <c r="Q175" s="27" t="n">
        <v>0</v>
      </c>
      <c r="R175" s="18" t="s">
        <v>993</v>
      </c>
      <c r="S175" s="20" t="s">
        <v>994</v>
      </c>
      <c r="T175" s="20" t="s">
        <v>396</v>
      </c>
      <c r="U175" s="24" t="str">
        <f aca="false">IF(OR(O175="",M175="",J175=""),"",IF(OR(D175="Coverage",D175="Thickness"),M175/J175*O175*IF(P175="",1,P175)*(1+IF(Q175="",0,Q175)),IF(O175=0,"",M175/O175*IF(P175="",1,P175)*(1+IF(Q175="",0,Q175)))))</f>
        <v/>
      </c>
      <c r="V175" s="28"/>
    </row>
    <row r="176" customFormat="false" ht="23.85" hidden="false" customHeight="false" outlineLevel="0" collapsed="false">
      <c r="A176" s="17" t="n">
        <v>171</v>
      </c>
      <c r="B176" s="17" t="s">
        <v>943</v>
      </c>
      <c r="C176" s="17" t="s">
        <v>986</v>
      </c>
      <c r="D176" s="17" t="s">
        <v>44</v>
      </c>
      <c r="E176" s="18" t="s">
        <v>995</v>
      </c>
      <c r="F176" s="19" t="s">
        <v>463</v>
      </c>
      <c r="G176" s="20"/>
      <c r="H176" s="20"/>
      <c r="I176" s="20"/>
      <c r="J176" s="21"/>
      <c r="K176" s="22"/>
      <c r="L176" s="23"/>
      <c r="M176" s="24" t="str">
        <f aca="false">IF(L176="","",L176*$C$2)</f>
        <v/>
      </c>
      <c r="N176" s="18" t="s">
        <v>996</v>
      </c>
      <c r="O176" s="25" t="n">
        <v>62.5</v>
      </c>
      <c r="P176" s="26" t="n">
        <v>1</v>
      </c>
      <c r="Q176" s="27" t="n">
        <v>0</v>
      </c>
      <c r="R176" s="18" t="s">
        <v>997</v>
      </c>
      <c r="S176" s="20" t="s">
        <v>994</v>
      </c>
      <c r="T176" s="20" t="s">
        <v>396</v>
      </c>
      <c r="U176" s="24" t="str">
        <f aca="false">IF(OR(O176="",M176="",J176=""),"",IF(OR(D176="Coverage",D176="Thickness"),M176/J176*O176*IF(P176="",1,P176)*(1+IF(Q176="",0,Q176)),IF(O176=0,"",M176/O176*IF(P176="",1,P176)*(1+IF(Q176="",0,Q176)))))</f>
        <v/>
      </c>
      <c r="V176" s="28"/>
    </row>
    <row r="177" customFormat="false" ht="23.85" hidden="false" customHeight="false" outlineLevel="0" collapsed="false">
      <c r="A177" s="8" t="n">
        <v>172</v>
      </c>
      <c r="B177" s="8" t="s">
        <v>267</v>
      </c>
      <c r="C177" s="8" t="s">
        <v>998</v>
      </c>
      <c r="D177" s="8" t="s">
        <v>113</v>
      </c>
      <c r="E177" s="5" t="s">
        <v>999</v>
      </c>
      <c r="F177" s="9" t="s">
        <v>1000</v>
      </c>
      <c r="G177" s="10" t="s">
        <v>1001</v>
      </c>
      <c r="H177" s="10" t="s">
        <v>391</v>
      </c>
      <c r="I177" s="10" t="n">
        <v>1</v>
      </c>
      <c r="J177" s="11" t="n">
        <v>0.6</v>
      </c>
      <c r="K177" s="10" t="s">
        <v>417</v>
      </c>
      <c r="L177" s="12" t="n">
        <v>29.7</v>
      </c>
      <c r="M177" s="13" t="n">
        <f aca="false">IF(L177="","",L177*$C$2)</f>
        <v>32.373</v>
      </c>
      <c r="N177" s="5" t="s">
        <v>1002</v>
      </c>
      <c r="O177" s="11" t="n">
        <v>6</v>
      </c>
      <c r="P177" s="14" t="n">
        <v>1</v>
      </c>
      <c r="Q177" s="15" t="n">
        <v>0.05</v>
      </c>
      <c r="R177" s="5" t="s">
        <v>1003</v>
      </c>
      <c r="S177" s="10" t="s">
        <v>395</v>
      </c>
      <c r="T177" s="10" t="s">
        <v>396</v>
      </c>
      <c r="U177" s="13" t="n">
        <f aca="false">IF(OR(O177="",M177="",J177=""),"",IF(OR(D177="Coverage",D177="Thickness"),M177/J177*O177*IF(P177="",1,P177)*(1+IF(Q177="",0,Q177)),IF(O177=0,"",M177/O177*IF(P177="",1,P177)*(1+IF(Q177="",0,Q177)))))</f>
        <v>5.665275</v>
      </c>
      <c r="V177" s="16" t="n">
        <v>-1</v>
      </c>
    </row>
    <row r="178" customFormat="false" ht="15" hidden="false" customHeight="false" outlineLevel="0" collapsed="false">
      <c r="A178" s="8" t="n">
        <v>173</v>
      </c>
      <c r="B178" s="8" t="s">
        <v>267</v>
      </c>
      <c r="C178" s="8" t="s">
        <v>998</v>
      </c>
      <c r="D178" s="8" t="s">
        <v>113</v>
      </c>
      <c r="E178" s="5" t="s">
        <v>1004</v>
      </c>
      <c r="F178" s="9" t="s">
        <v>1005</v>
      </c>
      <c r="G178" s="10" t="s">
        <v>1006</v>
      </c>
      <c r="H178" s="10" t="s">
        <v>391</v>
      </c>
      <c r="I178" s="10" t="n">
        <v>3</v>
      </c>
      <c r="J178" s="11" t="n">
        <v>0.6</v>
      </c>
      <c r="K178" s="10" t="s">
        <v>417</v>
      </c>
      <c r="L178" s="12" t="n">
        <v>16.5</v>
      </c>
      <c r="M178" s="13" t="n">
        <f aca="false">IF(L178="","",L178*$C$2)</f>
        <v>17.985</v>
      </c>
      <c r="N178" s="5" t="s">
        <v>1007</v>
      </c>
      <c r="O178" s="11" t="n">
        <v>6</v>
      </c>
      <c r="P178" s="14" t="n">
        <v>1</v>
      </c>
      <c r="Q178" s="15" t="n">
        <v>0.05</v>
      </c>
      <c r="R178" s="5" t="s">
        <v>1003</v>
      </c>
      <c r="S178" s="10" t="s">
        <v>395</v>
      </c>
      <c r="T178" s="10" t="s">
        <v>409</v>
      </c>
      <c r="U178" s="13" t="n">
        <f aca="false">IF(OR(O178="",M178="",J178=""),"",IF(OR(D178="Coverage",D178="Thickness"),M178/J178*O178*IF(P178="",1,P178)*(1+IF(Q178="",0,Q178)),IF(O178=0,"",M178/O178*IF(P178="",1,P178)*(1+IF(Q178="",0,Q178)))))</f>
        <v>3.147375</v>
      </c>
      <c r="V178" s="16" t="n">
        <v>120</v>
      </c>
    </row>
    <row r="179" customFormat="false" ht="15" hidden="false" customHeight="false" outlineLevel="0" collapsed="false">
      <c r="A179" s="8" t="n">
        <v>174</v>
      </c>
      <c r="B179" s="8" t="s">
        <v>267</v>
      </c>
      <c r="C179" s="8" t="s">
        <v>998</v>
      </c>
      <c r="D179" s="8" t="s">
        <v>113</v>
      </c>
      <c r="E179" s="5" t="s">
        <v>1008</v>
      </c>
      <c r="F179" s="9" t="s">
        <v>1009</v>
      </c>
      <c r="G179" s="10" t="s">
        <v>1010</v>
      </c>
      <c r="H179" s="10" t="s">
        <v>391</v>
      </c>
      <c r="I179" s="10" t="n">
        <v>1</v>
      </c>
      <c r="J179" s="11" t="n">
        <v>10</v>
      </c>
      <c r="K179" s="10" t="s">
        <v>392</v>
      </c>
      <c r="L179" s="12" t="n">
        <v>445.5</v>
      </c>
      <c r="M179" s="13" t="n">
        <f aca="false">IF(L179="","",L179*$C$2)</f>
        <v>485.595</v>
      </c>
      <c r="N179" s="5" t="s">
        <v>690</v>
      </c>
      <c r="O179" s="11" t="n">
        <v>6.7</v>
      </c>
      <c r="P179" s="14" t="n">
        <v>1</v>
      </c>
      <c r="Q179" s="15" t="n">
        <v>0.05</v>
      </c>
      <c r="R179" s="5" t="s">
        <v>1011</v>
      </c>
      <c r="S179" s="10" t="s">
        <v>395</v>
      </c>
      <c r="T179" s="10" t="s">
        <v>409</v>
      </c>
      <c r="U179" s="13" t="n">
        <f aca="false">IF(OR(O179="",M179="",J179=""),"",IF(OR(D179="Coverage",D179="Thickness"),M179/J179*O179*IF(P179="",1,P179)*(1+IF(Q179="",0,Q179)),IF(O179=0,"",M179/O179*IF(P179="",1,P179)*(1+IF(Q179="",0,Q179)))))</f>
        <v>76.1007089552239</v>
      </c>
      <c r="V179" s="16" t="n">
        <v>0</v>
      </c>
    </row>
    <row r="180" customFormat="false" ht="23.85" hidden="false" customHeight="false" outlineLevel="0" collapsed="false">
      <c r="A180" s="8" t="n">
        <v>175</v>
      </c>
      <c r="B180" s="8" t="s">
        <v>267</v>
      </c>
      <c r="C180" s="8" t="s">
        <v>998</v>
      </c>
      <c r="D180" s="8" t="s">
        <v>113</v>
      </c>
      <c r="E180" s="5" t="s">
        <v>1012</v>
      </c>
      <c r="F180" s="9" t="s">
        <v>1013</v>
      </c>
      <c r="G180" s="10" t="s">
        <v>1014</v>
      </c>
      <c r="H180" s="10" t="s">
        <v>391</v>
      </c>
      <c r="I180" s="10" t="n">
        <v>1</v>
      </c>
      <c r="J180" s="11" t="n">
        <v>10</v>
      </c>
      <c r="K180" s="10" t="s">
        <v>392</v>
      </c>
      <c r="L180" s="12" t="n">
        <v>345.6</v>
      </c>
      <c r="M180" s="13" t="n">
        <f aca="false">IF(L180="","",L180*$C$2)</f>
        <v>376.704</v>
      </c>
      <c r="N180" s="5" t="s">
        <v>690</v>
      </c>
      <c r="O180" s="11" t="n">
        <v>6.7</v>
      </c>
      <c r="P180" s="14" t="n">
        <v>1</v>
      </c>
      <c r="Q180" s="15" t="n">
        <v>0.05</v>
      </c>
      <c r="R180" s="5" t="s">
        <v>1011</v>
      </c>
      <c r="S180" s="10" t="s">
        <v>395</v>
      </c>
      <c r="T180" s="10" t="s">
        <v>409</v>
      </c>
      <c r="U180" s="13" t="n">
        <f aca="false">IF(OR(O180="",M180="",J180=""),"",IF(OR(D180="Coverage",D180="Thickness"),M180/J180*O180*IF(P180="",1,P180)*(1+IF(Q180="",0,Q180)),IF(O180=0,"",M180/O180*IF(P180="",1,P180)*(1+IF(Q180="",0,Q180)))))</f>
        <v>59.0357014925373</v>
      </c>
      <c r="V180" s="16" t="n">
        <v>0</v>
      </c>
    </row>
    <row r="181" customFormat="false" ht="15" hidden="false" customHeight="false" outlineLevel="0" collapsed="false">
      <c r="A181" s="8" t="n">
        <v>176</v>
      </c>
      <c r="B181" s="8" t="s">
        <v>267</v>
      </c>
      <c r="C181" s="8" t="s">
        <v>1015</v>
      </c>
      <c r="D181" s="8" t="s">
        <v>113</v>
      </c>
      <c r="E181" s="5" t="s">
        <v>1016</v>
      </c>
      <c r="F181" s="9" t="s">
        <v>1017</v>
      </c>
      <c r="G181" s="10" t="s">
        <v>1018</v>
      </c>
      <c r="H181" s="10" t="s">
        <v>391</v>
      </c>
      <c r="I181" s="10" t="n">
        <v>1</v>
      </c>
      <c r="J181" s="11" t="n">
        <v>0.3</v>
      </c>
      <c r="K181" s="10" t="s">
        <v>417</v>
      </c>
      <c r="L181" s="12" t="n">
        <v>21.6</v>
      </c>
      <c r="M181" s="13" t="n">
        <f aca="false">IF(L181="","",L181*$C$2)</f>
        <v>23.544</v>
      </c>
      <c r="N181" s="5" t="s">
        <v>567</v>
      </c>
      <c r="O181" s="11" t="n">
        <v>3</v>
      </c>
      <c r="P181" s="14" t="n">
        <v>1</v>
      </c>
      <c r="Q181" s="15" t="n">
        <v>0.05</v>
      </c>
      <c r="R181" s="5" t="s">
        <v>1003</v>
      </c>
      <c r="S181" s="10" t="s">
        <v>395</v>
      </c>
      <c r="T181" s="10" t="s">
        <v>396</v>
      </c>
      <c r="U181" s="13" t="n">
        <f aca="false">IF(OR(O181="",M181="",J181=""),"",IF(OR(D181="Coverage",D181="Thickness"),M181/J181*O181*IF(P181="",1,P181)*(1+IF(Q181="",0,Q181)),IF(O181=0,"",M181/O181*IF(P181="",1,P181)*(1+IF(Q181="",0,Q181)))))</f>
        <v>8.2404</v>
      </c>
      <c r="V181" s="16" t="n">
        <v>0</v>
      </c>
    </row>
    <row r="182" customFormat="false" ht="15" hidden="false" customHeight="false" outlineLevel="0" collapsed="false">
      <c r="A182" s="8" t="n">
        <v>177</v>
      </c>
      <c r="B182" s="8" t="s">
        <v>267</v>
      </c>
      <c r="C182" s="8" t="s">
        <v>1019</v>
      </c>
      <c r="D182" s="8" t="s">
        <v>113</v>
      </c>
      <c r="E182" s="5" t="s">
        <v>1020</v>
      </c>
      <c r="F182" s="9" t="s">
        <v>1021</v>
      </c>
      <c r="G182" s="10" t="s">
        <v>1022</v>
      </c>
      <c r="H182" s="10" t="s">
        <v>391</v>
      </c>
      <c r="I182" s="10" t="n">
        <v>2</v>
      </c>
      <c r="J182" s="11" t="n">
        <v>4</v>
      </c>
      <c r="K182" s="10" t="s">
        <v>417</v>
      </c>
      <c r="L182" s="12" t="n">
        <v>80</v>
      </c>
      <c r="M182" s="13" t="n">
        <f aca="false">IF(L182="","",L182*$C$2)</f>
        <v>87.2</v>
      </c>
      <c r="N182" s="5" t="s">
        <v>1023</v>
      </c>
      <c r="O182" s="11" t="n">
        <v>40</v>
      </c>
      <c r="P182" s="14" t="n">
        <v>1</v>
      </c>
      <c r="Q182" s="15" t="n">
        <v>0.05</v>
      </c>
      <c r="R182" s="5" t="s">
        <v>1024</v>
      </c>
      <c r="S182" s="10" t="s">
        <v>395</v>
      </c>
      <c r="T182" s="10" t="s">
        <v>409</v>
      </c>
      <c r="U182" s="13" t="n">
        <f aca="false">IF(OR(O182="",M182="",J182=""),"",IF(OR(D182="Coverage",D182="Thickness"),M182/J182*O182*IF(P182="",1,P182)*(1+IF(Q182="",0,Q182)),IF(O182=0,"",M182/O182*IF(P182="",1,P182)*(1+IF(Q182="",0,Q182)))))</f>
        <v>2.289</v>
      </c>
      <c r="V182" s="16" t="n">
        <v>2</v>
      </c>
    </row>
    <row r="183" customFormat="false" ht="15" hidden="false" customHeight="false" outlineLevel="0" collapsed="false">
      <c r="A183" s="8" t="n">
        <v>178</v>
      </c>
      <c r="B183" s="8" t="s">
        <v>267</v>
      </c>
      <c r="C183" s="8" t="s">
        <v>1019</v>
      </c>
      <c r="D183" s="8" t="s">
        <v>113</v>
      </c>
      <c r="E183" s="5" t="s">
        <v>1025</v>
      </c>
      <c r="F183" s="9" t="s">
        <v>1026</v>
      </c>
      <c r="G183" s="10" t="s">
        <v>1027</v>
      </c>
      <c r="H183" s="10" t="s">
        <v>391</v>
      </c>
      <c r="I183" s="10" t="n">
        <v>1</v>
      </c>
      <c r="J183" s="11" t="n">
        <v>5</v>
      </c>
      <c r="K183" s="10" t="s">
        <v>417</v>
      </c>
      <c r="L183" s="12" t="n">
        <v>111.4</v>
      </c>
      <c r="M183" s="13" t="n">
        <f aca="false">IF(L183="","",L183*$C$2)</f>
        <v>121.426</v>
      </c>
      <c r="N183" s="5" t="s">
        <v>1023</v>
      </c>
      <c r="O183" s="11" t="n">
        <v>50</v>
      </c>
      <c r="P183" s="14" t="n">
        <v>1</v>
      </c>
      <c r="Q183" s="15" t="n">
        <v>0.05</v>
      </c>
      <c r="R183" s="5" t="s">
        <v>1028</v>
      </c>
      <c r="S183" s="10" t="s">
        <v>395</v>
      </c>
      <c r="T183" s="10" t="s">
        <v>409</v>
      </c>
      <c r="U183" s="13" t="n">
        <f aca="false">IF(OR(O183="",M183="",J183=""),"",IF(OR(D183="Coverage",D183="Thickness"),M183/J183*O183*IF(P183="",1,P183)*(1+IF(Q183="",0,Q183)),IF(O183=0,"",M183/O183*IF(P183="",1,P183)*(1+IF(Q183="",0,Q183)))))</f>
        <v>2.549946</v>
      </c>
      <c r="V183" s="16" t="n">
        <v>101</v>
      </c>
    </row>
    <row r="184" customFormat="false" ht="15" hidden="false" customHeight="false" outlineLevel="0" collapsed="false">
      <c r="A184" s="8" t="n">
        <v>179</v>
      </c>
      <c r="B184" s="8" t="s">
        <v>267</v>
      </c>
      <c r="C184" s="8" t="s">
        <v>1029</v>
      </c>
      <c r="D184" s="8" t="s">
        <v>113</v>
      </c>
      <c r="E184" s="5" t="s">
        <v>1030</v>
      </c>
      <c r="F184" s="9" t="s">
        <v>1031</v>
      </c>
      <c r="G184" s="10" t="s">
        <v>1032</v>
      </c>
      <c r="H184" s="10" t="s">
        <v>391</v>
      </c>
      <c r="I184" s="10" t="n">
        <v>2</v>
      </c>
      <c r="J184" s="11" t="n">
        <v>0.31</v>
      </c>
      <c r="K184" s="10" t="s">
        <v>417</v>
      </c>
      <c r="L184" s="12" t="n">
        <v>16.2</v>
      </c>
      <c r="M184" s="13" t="n">
        <f aca="false">IF(L184="","",L184*$C$2)</f>
        <v>17.658</v>
      </c>
      <c r="N184" s="5" t="s">
        <v>567</v>
      </c>
      <c r="O184" s="11" t="n">
        <v>3</v>
      </c>
      <c r="P184" s="14" t="n">
        <v>1</v>
      </c>
      <c r="Q184" s="15" t="n">
        <v>0.05</v>
      </c>
      <c r="R184" s="5" t="s">
        <v>1033</v>
      </c>
      <c r="S184" s="10" t="s">
        <v>395</v>
      </c>
      <c r="T184" s="10" t="s">
        <v>409</v>
      </c>
      <c r="U184" s="13" t="n">
        <f aca="false">IF(OR(O184="",M184="",J184=""),"",IF(OR(D184="Coverage",D184="Thickness"),M184/J184*O184*IF(P184="",1,P184)*(1+IF(Q184="",0,Q184)),IF(O184=0,"",M184/O184*IF(P184="",1,P184)*(1+IF(Q184="",0,Q184)))))</f>
        <v>6.1803</v>
      </c>
      <c r="V184" s="16" t="n">
        <v>6</v>
      </c>
    </row>
    <row r="185" customFormat="false" ht="15" hidden="false" customHeight="false" outlineLevel="0" collapsed="false">
      <c r="A185" s="8" t="n">
        <v>180</v>
      </c>
      <c r="B185" s="8" t="s">
        <v>267</v>
      </c>
      <c r="C185" s="8" t="s">
        <v>1034</v>
      </c>
      <c r="D185" s="8" t="s">
        <v>113</v>
      </c>
      <c r="E185" s="5" t="s">
        <v>904</v>
      </c>
      <c r="F185" s="9" t="s">
        <v>905</v>
      </c>
      <c r="G185" s="10" t="s">
        <v>906</v>
      </c>
      <c r="H185" s="10" t="s">
        <v>391</v>
      </c>
      <c r="I185" s="10" t="n">
        <v>36</v>
      </c>
      <c r="J185" s="11" t="n">
        <v>0.31</v>
      </c>
      <c r="K185" s="10" t="s">
        <v>417</v>
      </c>
      <c r="L185" s="12" t="n">
        <v>23.85</v>
      </c>
      <c r="M185" s="13" t="n">
        <f aca="false">IF(L185="","",L185*$C$2)</f>
        <v>25.9965</v>
      </c>
      <c r="N185" s="5" t="s">
        <v>567</v>
      </c>
      <c r="O185" s="11" t="n">
        <v>8</v>
      </c>
      <c r="P185" s="14" t="n">
        <v>1</v>
      </c>
      <c r="Q185" s="15" t="n">
        <v>0.05</v>
      </c>
      <c r="R185" s="5" t="s">
        <v>908</v>
      </c>
      <c r="S185" s="10" t="s">
        <v>395</v>
      </c>
      <c r="T185" s="10" t="s">
        <v>409</v>
      </c>
      <c r="U185" s="13" t="n">
        <f aca="false">IF(OR(O185="",M185="",J185=""),"",IF(OR(D185="Coverage",D185="Thickness"),M185/J185*O185*IF(P185="",1,P185)*(1+IF(Q185="",0,Q185)),IF(O185=0,"",M185/O185*IF(P185="",1,P185)*(1+IF(Q185="",0,Q185)))))</f>
        <v>3.412040625</v>
      </c>
      <c r="V185" s="16" t="n">
        <v>310</v>
      </c>
    </row>
    <row r="186" customFormat="false" ht="15" hidden="false" customHeight="false" outlineLevel="0" collapsed="false">
      <c r="A186" s="8" t="n">
        <v>181</v>
      </c>
      <c r="B186" s="8" t="s">
        <v>267</v>
      </c>
      <c r="C186" s="8" t="s">
        <v>270</v>
      </c>
      <c r="D186" s="8" t="s">
        <v>113</v>
      </c>
      <c r="E186" s="5" t="s">
        <v>1035</v>
      </c>
      <c r="F186" s="9" t="s">
        <v>1036</v>
      </c>
      <c r="G186" s="10"/>
      <c r="H186" s="10"/>
      <c r="I186" s="10" t="n">
        <v>4</v>
      </c>
      <c r="J186" s="11" t="n">
        <v>100</v>
      </c>
      <c r="K186" s="10" t="s">
        <v>114</v>
      </c>
      <c r="L186" s="12" t="n">
        <v>46</v>
      </c>
      <c r="M186" s="13" t="n">
        <f aca="false">IF(L186="","",L186*$C$2)</f>
        <v>50.14</v>
      </c>
      <c r="N186" s="5" t="s">
        <v>1037</v>
      </c>
      <c r="O186" s="11" t="n">
        <v>100</v>
      </c>
      <c r="P186" s="14" t="n">
        <v>1</v>
      </c>
      <c r="Q186" s="15" t="n">
        <v>0.05</v>
      </c>
      <c r="R186" s="5" t="s">
        <v>1038</v>
      </c>
      <c r="S186" s="10" t="s">
        <v>395</v>
      </c>
      <c r="T186" s="10" t="s">
        <v>396</v>
      </c>
      <c r="U186" s="13" t="n">
        <f aca="false">IF(OR(O186="",M186="",J186=""),"",IF(OR(D186="Coverage",D186="Thickness"),M186/J186*O186*IF(P186="",1,P186)*(1+IF(Q186="",0,Q186)),IF(O186=0,"",M186/O186*IF(P186="",1,P186)*(1+IF(Q186="",0,Q186)))))</f>
        <v>0.52647</v>
      </c>
      <c r="V186" s="16" t="n">
        <v>65</v>
      </c>
    </row>
    <row r="187" customFormat="false" ht="15" hidden="false" customHeight="false" outlineLevel="0" collapsed="false">
      <c r="A187" s="8" t="n">
        <v>182</v>
      </c>
      <c r="B187" s="8" t="s">
        <v>267</v>
      </c>
      <c r="C187" s="8" t="s">
        <v>1039</v>
      </c>
      <c r="D187" s="8" t="s">
        <v>113</v>
      </c>
      <c r="E187" s="5" t="s">
        <v>1040</v>
      </c>
      <c r="F187" s="9" t="s">
        <v>559</v>
      </c>
      <c r="G187" s="10" t="s">
        <v>560</v>
      </c>
      <c r="H187" s="10" t="s">
        <v>391</v>
      </c>
      <c r="I187" s="10" t="n">
        <v>1</v>
      </c>
      <c r="J187" s="11" t="n">
        <v>10</v>
      </c>
      <c r="K187" s="10" t="s">
        <v>114</v>
      </c>
      <c r="L187" s="12" t="n">
        <v>257.4</v>
      </c>
      <c r="M187" s="13" t="n">
        <f aca="false">IF(L187="","",L187*$C$2)</f>
        <v>280.566</v>
      </c>
      <c r="N187" s="5" t="s">
        <v>538</v>
      </c>
      <c r="O187" s="11" t="n">
        <v>10</v>
      </c>
      <c r="P187" s="14" t="n">
        <v>1</v>
      </c>
      <c r="Q187" s="15" t="n">
        <v>0.05</v>
      </c>
      <c r="R187" s="5"/>
      <c r="S187" s="10" t="s">
        <v>395</v>
      </c>
      <c r="T187" s="10" t="s">
        <v>396</v>
      </c>
      <c r="U187" s="13" t="n">
        <f aca="false">IF(OR(O187="",M187="",J187=""),"",IF(OR(D187="Coverage",D187="Thickness"),M187/J187*O187*IF(P187="",1,P187)*(1+IF(Q187="",0,Q187)),IF(O187=0,"",M187/O187*IF(P187="",1,P187)*(1+IF(Q187="",0,Q187)))))</f>
        <v>29.45943</v>
      </c>
      <c r="V187" s="16" t="n">
        <v>0</v>
      </c>
    </row>
    <row r="188" customFormat="false" ht="15" hidden="false" customHeight="false" outlineLevel="0" collapsed="false">
      <c r="A188" s="17" t="n">
        <v>183</v>
      </c>
      <c r="B188" s="17" t="s">
        <v>267</v>
      </c>
      <c r="C188" s="17" t="s">
        <v>998</v>
      </c>
      <c r="D188" s="17" t="s">
        <v>113</v>
      </c>
      <c r="E188" s="18" t="s">
        <v>1041</v>
      </c>
      <c r="F188" s="19" t="s">
        <v>463</v>
      </c>
      <c r="G188" s="20"/>
      <c r="H188" s="20"/>
      <c r="I188" s="20"/>
      <c r="J188" s="21"/>
      <c r="K188" s="22"/>
      <c r="L188" s="23"/>
      <c r="M188" s="24" t="str">
        <f aca="false">IF(L188="","",L188*$C$2)</f>
        <v/>
      </c>
      <c r="N188" s="18" t="s">
        <v>538</v>
      </c>
      <c r="O188" s="25" t="n">
        <v>100</v>
      </c>
      <c r="P188" s="26" t="n">
        <v>1</v>
      </c>
      <c r="Q188" s="27" t="n">
        <v>0.05</v>
      </c>
      <c r="R188" s="18" t="s">
        <v>1042</v>
      </c>
      <c r="S188" s="20" t="s">
        <v>395</v>
      </c>
      <c r="T188" s="20" t="s">
        <v>396</v>
      </c>
      <c r="U188" s="24" t="str">
        <f aca="false">IF(OR(O188="",M188="",J188=""),"",IF(OR(D188="Coverage",D188="Thickness"),M188/J188*O188*IF(P188="",1,P188)*(1+IF(Q188="",0,Q188)),IF(O188=0,"",M188/O188*IF(P188="",1,P188)*(1+IF(Q188="",0,Q188)))))</f>
        <v/>
      </c>
      <c r="V188" s="28"/>
    </row>
    <row r="189" customFormat="false" ht="15" hidden="false" customHeight="false" outlineLevel="0" collapsed="false">
      <c r="A189" s="8" t="n">
        <v>184</v>
      </c>
      <c r="B189" s="8" t="s">
        <v>284</v>
      </c>
      <c r="C189" s="8" t="s">
        <v>1043</v>
      </c>
      <c r="D189" s="8" t="s">
        <v>44</v>
      </c>
      <c r="E189" s="5" t="s">
        <v>1044</v>
      </c>
      <c r="F189" s="9" t="s">
        <v>1045</v>
      </c>
      <c r="G189" s="10" t="s">
        <v>1046</v>
      </c>
      <c r="H189" s="10" t="s">
        <v>1047</v>
      </c>
      <c r="I189" s="10" t="n">
        <v>1</v>
      </c>
      <c r="J189" s="11" t="n">
        <v>18</v>
      </c>
      <c r="K189" s="10" t="s">
        <v>417</v>
      </c>
      <c r="L189" s="12" t="n">
        <v>41</v>
      </c>
      <c r="M189" s="13" t="n">
        <f aca="false">IF(L189="","",L189*$C$2)</f>
        <v>44.69</v>
      </c>
      <c r="N189" s="5" t="s">
        <v>1048</v>
      </c>
      <c r="O189" s="11" t="n">
        <v>18</v>
      </c>
      <c r="P189" s="14" t="n">
        <v>1</v>
      </c>
      <c r="Q189" s="15" t="n">
        <v>0.05</v>
      </c>
      <c r="R189" s="5" t="s">
        <v>1049</v>
      </c>
      <c r="S189" s="10" t="s">
        <v>395</v>
      </c>
      <c r="T189" s="10" t="s">
        <v>409</v>
      </c>
      <c r="U189" s="13" t="n">
        <f aca="false">IF(OR(O189="",M189="",J189=""),"",IF(OR(D189="Coverage",D189="Thickness"),M189/J189*O189*IF(P189="",1,P189)*(1+IF(Q189="",0,Q189)),IF(O189=0,"",M189/O189*IF(P189="",1,P189)*(1+IF(Q189="",0,Q189)))))</f>
        <v>46.9245</v>
      </c>
      <c r="V189" s="16" t="n">
        <v>1</v>
      </c>
    </row>
    <row r="190" customFormat="false" ht="15" hidden="false" customHeight="false" outlineLevel="0" collapsed="false">
      <c r="A190" s="8" t="n">
        <v>185</v>
      </c>
      <c r="B190" s="8" t="s">
        <v>284</v>
      </c>
      <c r="C190" s="8" t="s">
        <v>1043</v>
      </c>
      <c r="D190" s="8" t="s">
        <v>44</v>
      </c>
      <c r="E190" s="5" t="s">
        <v>1050</v>
      </c>
      <c r="F190" s="9" t="s">
        <v>1051</v>
      </c>
      <c r="G190" s="10" t="s">
        <v>1052</v>
      </c>
      <c r="H190" s="10" t="s">
        <v>1047</v>
      </c>
      <c r="I190" s="10" t="n">
        <v>1</v>
      </c>
      <c r="J190" s="11" t="n">
        <v>18</v>
      </c>
      <c r="K190" s="10" t="s">
        <v>417</v>
      </c>
      <c r="L190" s="12" t="n">
        <v>75</v>
      </c>
      <c r="M190" s="13" t="n">
        <f aca="false">IF(L190="","",L190*$C$2)</f>
        <v>81.75</v>
      </c>
      <c r="N190" s="5" t="s">
        <v>289</v>
      </c>
      <c r="O190" s="11" t="n">
        <v>15</v>
      </c>
      <c r="P190" s="14" t="n">
        <v>1</v>
      </c>
      <c r="Q190" s="15" t="n">
        <v>0.05</v>
      </c>
      <c r="R190" s="5" t="s">
        <v>1053</v>
      </c>
      <c r="S190" s="10" t="s">
        <v>395</v>
      </c>
      <c r="T190" s="10" t="s">
        <v>409</v>
      </c>
      <c r="U190" s="13" t="n">
        <f aca="false">IF(OR(O190="",M190="",J190=""),"",IF(OR(D190="Coverage",D190="Thickness"),M190/J190*O190*IF(P190="",1,P190)*(1+IF(Q190="",0,Q190)),IF(O190=0,"",M190/O190*IF(P190="",1,P190)*(1+IF(Q190="",0,Q190)))))</f>
        <v>71.53125</v>
      </c>
      <c r="V190" s="16" t="n">
        <v>13</v>
      </c>
    </row>
    <row r="191" customFormat="false" ht="15" hidden="false" customHeight="false" outlineLevel="0" collapsed="false">
      <c r="A191" s="8" t="n">
        <v>186</v>
      </c>
      <c r="B191" s="8" t="s">
        <v>284</v>
      </c>
      <c r="C191" s="8" t="s">
        <v>43</v>
      </c>
      <c r="D191" s="8" t="s">
        <v>44</v>
      </c>
      <c r="E191" s="5" t="s">
        <v>1054</v>
      </c>
      <c r="F191" s="9" t="s">
        <v>1055</v>
      </c>
      <c r="G191" s="10" t="s">
        <v>1056</v>
      </c>
      <c r="H191" s="10" t="s">
        <v>1047</v>
      </c>
      <c r="I191" s="10" t="n">
        <v>1</v>
      </c>
      <c r="J191" s="11" t="n">
        <v>18</v>
      </c>
      <c r="K191" s="10" t="s">
        <v>417</v>
      </c>
      <c r="L191" s="12" t="n">
        <v>148.64</v>
      </c>
      <c r="M191" s="13" t="n">
        <f aca="false">IF(L191="","",L191*$C$2)</f>
        <v>162.0176</v>
      </c>
      <c r="N191" s="5" t="s">
        <v>289</v>
      </c>
      <c r="O191" s="11" t="n">
        <v>10</v>
      </c>
      <c r="P191" s="14" t="n">
        <v>1</v>
      </c>
      <c r="Q191" s="15" t="n">
        <v>0.05</v>
      </c>
      <c r="R191" s="5" t="s">
        <v>289</v>
      </c>
      <c r="S191" s="10" t="s">
        <v>395</v>
      </c>
      <c r="T191" s="10" t="s">
        <v>409</v>
      </c>
      <c r="U191" s="13" t="n">
        <f aca="false">IF(OR(O191="",M191="",J191=""),"",IF(OR(D191="Coverage",D191="Thickness"),M191/J191*O191*IF(P191="",1,P191)*(1+IF(Q191="",0,Q191)),IF(O191=0,"",M191/O191*IF(P191="",1,P191)*(1+IF(Q191="",0,Q191)))))</f>
        <v>94.5102666666667</v>
      </c>
      <c r="V191" s="16" t="n">
        <v>4</v>
      </c>
    </row>
    <row r="192" customFormat="false" ht="15" hidden="false" customHeight="false" outlineLevel="0" collapsed="false">
      <c r="A192" s="8" t="n">
        <v>187</v>
      </c>
      <c r="B192" s="8" t="s">
        <v>284</v>
      </c>
      <c r="C192" s="8" t="s">
        <v>43</v>
      </c>
      <c r="D192" s="8" t="s">
        <v>44</v>
      </c>
      <c r="E192" s="5" t="s">
        <v>1057</v>
      </c>
      <c r="F192" s="9" t="s">
        <v>1058</v>
      </c>
      <c r="G192" s="10"/>
      <c r="H192" s="10"/>
      <c r="I192" s="10" t="n">
        <v>1</v>
      </c>
      <c r="J192" s="11" t="n">
        <v>18</v>
      </c>
      <c r="K192" s="10" t="s">
        <v>417</v>
      </c>
      <c r="L192" s="12" t="n">
        <v>70</v>
      </c>
      <c r="M192" s="13" t="n">
        <f aca="false">IF(L192="","",L192*$C$2)</f>
        <v>76.3</v>
      </c>
      <c r="N192" s="5" t="s">
        <v>289</v>
      </c>
      <c r="O192" s="11" t="n">
        <v>10</v>
      </c>
      <c r="P192" s="14" t="n">
        <v>1</v>
      </c>
      <c r="Q192" s="15" t="n">
        <v>0.05</v>
      </c>
      <c r="R192" s="5"/>
      <c r="S192" s="10" t="s">
        <v>395</v>
      </c>
      <c r="T192" s="10" t="s">
        <v>409</v>
      </c>
      <c r="U192" s="13" t="n">
        <f aca="false">IF(OR(O192="",M192="",J192=""),"",IF(OR(D192="Coverage",D192="Thickness"),M192/J192*O192*IF(P192="",1,P192)*(1+IF(Q192="",0,Q192)),IF(O192=0,"",M192/O192*IF(P192="",1,P192)*(1+IF(Q192="",0,Q192)))))</f>
        <v>44.5083333333334</v>
      </c>
      <c r="V192" s="16" t="n">
        <v>0</v>
      </c>
    </row>
    <row r="193" customFormat="false" ht="23.85" hidden="false" customHeight="false" outlineLevel="0" collapsed="false">
      <c r="A193" s="8" t="n">
        <v>188</v>
      </c>
      <c r="B193" s="8" t="s">
        <v>284</v>
      </c>
      <c r="C193" s="8" t="s">
        <v>1059</v>
      </c>
      <c r="D193" s="8" t="s">
        <v>44</v>
      </c>
      <c r="E193" s="5" t="s">
        <v>1060</v>
      </c>
      <c r="F193" s="9" t="s">
        <v>1061</v>
      </c>
      <c r="G193" s="10" t="s">
        <v>1062</v>
      </c>
      <c r="H193" s="10" t="s">
        <v>1047</v>
      </c>
      <c r="I193" s="10" t="n">
        <v>1</v>
      </c>
      <c r="J193" s="11" t="n">
        <v>18.93</v>
      </c>
      <c r="K193" s="10" t="s">
        <v>417</v>
      </c>
      <c r="L193" s="12" t="n">
        <v>210.79</v>
      </c>
      <c r="M193" s="13" t="n">
        <f aca="false">IF(L193="","",L193*$C$2)</f>
        <v>229.7611</v>
      </c>
      <c r="N193" s="5" t="s">
        <v>289</v>
      </c>
      <c r="O193" s="11" t="n">
        <v>9</v>
      </c>
      <c r="P193" s="14" t="n">
        <v>2</v>
      </c>
      <c r="Q193" s="15" t="n">
        <v>0.05</v>
      </c>
      <c r="R193" s="5" t="s">
        <v>445</v>
      </c>
      <c r="S193" s="10" t="s">
        <v>395</v>
      </c>
      <c r="T193" s="10" t="s">
        <v>409</v>
      </c>
      <c r="U193" s="13" t="n">
        <f aca="false">IF(OR(O193="",M193="",J193=""),"",IF(OR(D193="Coverage",D193="Thickness"),M193/J193*O193*IF(P193="",1,P193)*(1+IF(Q193="",0,Q193)),IF(O193=0,"",M193/O193*IF(P193="",1,P193)*(1+IF(Q193="",0,Q193)))))</f>
        <v>229.396977812995</v>
      </c>
      <c r="V193" s="16" t="n">
        <v>0</v>
      </c>
    </row>
    <row r="194" customFormat="false" ht="23.85" hidden="false" customHeight="false" outlineLevel="0" collapsed="false">
      <c r="A194" s="8" t="n">
        <v>189</v>
      </c>
      <c r="B194" s="8" t="s">
        <v>284</v>
      </c>
      <c r="C194" s="8" t="s">
        <v>1059</v>
      </c>
      <c r="D194" s="8" t="s">
        <v>44</v>
      </c>
      <c r="E194" s="5" t="s">
        <v>1063</v>
      </c>
      <c r="F194" s="9" t="s">
        <v>1064</v>
      </c>
      <c r="G194" s="10" t="s">
        <v>1065</v>
      </c>
      <c r="H194" s="10" t="s">
        <v>1047</v>
      </c>
      <c r="I194" s="10" t="n">
        <v>1</v>
      </c>
      <c r="J194" s="11" t="n">
        <v>18.93</v>
      </c>
      <c r="K194" s="10" t="s">
        <v>417</v>
      </c>
      <c r="L194" s="12" t="n">
        <v>268.28</v>
      </c>
      <c r="M194" s="13" t="n">
        <f aca="false">IF(L194="","",L194*$C$2)</f>
        <v>292.4252</v>
      </c>
      <c r="N194" s="5" t="s">
        <v>289</v>
      </c>
      <c r="O194" s="11" t="n">
        <v>4</v>
      </c>
      <c r="P194" s="14" t="n">
        <v>1</v>
      </c>
      <c r="Q194" s="15" t="n">
        <v>0.05</v>
      </c>
      <c r="R194" s="5"/>
      <c r="S194" s="10" t="s">
        <v>395</v>
      </c>
      <c r="T194" s="10" t="s">
        <v>409</v>
      </c>
      <c r="U194" s="13" t="n">
        <f aca="false">IF(OR(O194="",M194="",J194=""),"",IF(OR(D194="Coverage",D194="Thickness"),M194/J194*O194*IF(P194="",1,P194)*(1+IF(Q194="",0,Q194)),IF(O194=0,"",M194/O194*IF(P194="",1,P194)*(1+IF(Q194="",0,Q194)))))</f>
        <v>64.8803930269414</v>
      </c>
      <c r="V194" s="16" t="n">
        <v>0</v>
      </c>
    </row>
    <row r="195" customFormat="false" ht="23.85" hidden="false" customHeight="false" outlineLevel="0" collapsed="false">
      <c r="A195" s="8" t="n">
        <v>190</v>
      </c>
      <c r="B195" s="8" t="s">
        <v>284</v>
      </c>
      <c r="C195" s="8" t="s">
        <v>1059</v>
      </c>
      <c r="D195" s="8" t="s">
        <v>44</v>
      </c>
      <c r="E195" s="5" t="s">
        <v>1066</v>
      </c>
      <c r="F195" s="9" t="s">
        <v>1067</v>
      </c>
      <c r="G195" s="10" t="s">
        <v>1068</v>
      </c>
      <c r="H195" s="10" t="s">
        <v>1047</v>
      </c>
      <c r="I195" s="10" t="n">
        <v>1</v>
      </c>
      <c r="J195" s="11" t="n">
        <v>18.93</v>
      </c>
      <c r="K195" s="10" t="s">
        <v>417</v>
      </c>
      <c r="L195" s="12" t="n">
        <v>147.83</v>
      </c>
      <c r="M195" s="13" t="n">
        <f aca="false">IF(L195="","",L195*$C$2)</f>
        <v>161.1347</v>
      </c>
      <c r="N195" s="5" t="s">
        <v>289</v>
      </c>
      <c r="O195" s="29" t="n">
        <v>1.5</v>
      </c>
      <c r="P195" s="30" t="n">
        <v>1</v>
      </c>
      <c r="Q195" s="31" t="n">
        <v>0.05</v>
      </c>
      <c r="R195" s="5"/>
      <c r="S195" s="10" t="s">
        <v>395</v>
      </c>
      <c r="T195" s="32" t="s">
        <v>417</v>
      </c>
      <c r="U195" s="13" t="n">
        <f aca="false">IF(OR(O195="",M195="",J195=""),"",IF(OR(D195="Coverage",D195="Thickness"),M195/J195*O195*IF(P195="",1,P195)*(1+IF(Q195="",0,Q195)),IF(O195=0,"",M195/O195*IF(P195="",1,P195)*(1+IF(Q195="",0,Q195)))))</f>
        <v>13.4066113312203</v>
      </c>
      <c r="V195" s="16" t="n">
        <v>0</v>
      </c>
    </row>
    <row r="196" customFormat="false" ht="23.85" hidden="false" customHeight="false" outlineLevel="0" collapsed="false">
      <c r="A196" s="8" t="n">
        <v>191</v>
      </c>
      <c r="B196" s="8" t="s">
        <v>284</v>
      </c>
      <c r="C196" s="8" t="s">
        <v>1059</v>
      </c>
      <c r="D196" s="8" t="s">
        <v>44</v>
      </c>
      <c r="E196" s="5" t="s">
        <v>1069</v>
      </c>
      <c r="F196" s="9" t="s">
        <v>1070</v>
      </c>
      <c r="G196" s="10"/>
      <c r="H196" s="10" t="s">
        <v>1047</v>
      </c>
      <c r="I196" s="10" t="n">
        <v>2</v>
      </c>
      <c r="J196" s="21"/>
      <c r="K196" s="22"/>
      <c r="L196" s="12" t="n">
        <v>175</v>
      </c>
      <c r="M196" s="13" t="n">
        <f aca="false">IF(L196="","",L196*$C$2)</f>
        <v>190.75</v>
      </c>
      <c r="N196" s="5" t="s">
        <v>289</v>
      </c>
      <c r="O196" s="11" t="n">
        <v>12</v>
      </c>
      <c r="P196" s="14" t="n">
        <v>2</v>
      </c>
      <c r="Q196" s="15" t="n">
        <v>0.05</v>
      </c>
      <c r="R196" s="5" t="s">
        <v>445</v>
      </c>
      <c r="S196" s="10" t="s">
        <v>395</v>
      </c>
      <c r="T196" s="10" t="s">
        <v>409</v>
      </c>
      <c r="U196" s="13" t="str">
        <f aca="false">IF(OR(O196="",M196="",J196=""),"",IF(OR(D196="Coverage",D196="Thickness"),M196/J196*O196*IF(P196="",1,P196)*(1+IF(Q196="",0,Q196)),IF(O196=0,"",M196/O196*IF(P196="",1,P196)*(1+IF(Q196="",0,Q196)))))</f>
        <v/>
      </c>
      <c r="V196" s="16" t="n">
        <v>102</v>
      </c>
    </row>
    <row r="197" customFormat="false" ht="23.85" hidden="false" customHeight="false" outlineLevel="0" collapsed="false">
      <c r="A197" s="8" t="n">
        <v>192</v>
      </c>
      <c r="B197" s="8" t="s">
        <v>284</v>
      </c>
      <c r="C197" s="8" t="s">
        <v>1059</v>
      </c>
      <c r="D197" s="8" t="s">
        <v>44</v>
      </c>
      <c r="E197" s="5" t="s">
        <v>1071</v>
      </c>
      <c r="F197" s="9" t="s">
        <v>1072</v>
      </c>
      <c r="G197" s="10"/>
      <c r="H197" s="10"/>
      <c r="I197" s="10" t="n">
        <v>1</v>
      </c>
      <c r="J197" s="11" t="n">
        <v>3.785</v>
      </c>
      <c r="K197" s="10" t="s">
        <v>417</v>
      </c>
      <c r="L197" s="12" t="n">
        <v>115</v>
      </c>
      <c r="M197" s="13" t="n">
        <f aca="false">IF(L197="","",L197*$C$2)</f>
        <v>125.35</v>
      </c>
      <c r="N197" s="5" t="s">
        <v>289</v>
      </c>
      <c r="O197" s="11" t="n">
        <v>12</v>
      </c>
      <c r="P197" s="14" t="n">
        <v>2</v>
      </c>
      <c r="Q197" s="15" t="n">
        <v>0.05</v>
      </c>
      <c r="R197" s="5" t="s">
        <v>445</v>
      </c>
      <c r="S197" s="10" t="s">
        <v>395</v>
      </c>
      <c r="T197" s="10" t="s">
        <v>409</v>
      </c>
      <c r="U197" s="13" t="n">
        <f aca="false">IF(OR(O197="",M197="",J197=""),"",IF(OR(D197="Coverage",D197="Thickness"),M197/J197*O197*IF(P197="",1,P197)*(1+IF(Q197="",0,Q197)),IF(O197=0,"",M197/O197*IF(P197="",1,P197)*(1+IF(Q197="",0,Q197)))))</f>
        <v>834.562747688243</v>
      </c>
      <c r="V197" s="16" t="n">
        <v>0</v>
      </c>
    </row>
    <row r="198" customFormat="false" ht="23.85" hidden="false" customHeight="false" outlineLevel="0" collapsed="false">
      <c r="A198" s="8" t="n">
        <v>193</v>
      </c>
      <c r="B198" s="8" t="s">
        <v>284</v>
      </c>
      <c r="C198" s="8" t="s">
        <v>1059</v>
      </c>
      <c r="D198" s="8" t="s">
        <v>44</v>
      </c>
      <c r="E198" s="5" t="s">
        <v>1073</v>
      </c>
      <c r="F198" s="9" t="s">
        <v>1074</v>
      </c>
      <c r="G198" s="10"/>
      <c r="H198" s="10" t="s">
        <v>1075</v>
      </c>
      <c r="I198" s="10" t="n">
        <v>1</v>
      </c>
      <c r="J198" s="11" t="n">
        <v>18</v>
      </c>
      <c r="K198" s="10" t="s">
        <v>417</v>
      </c>
      <c r="L198" s="12" t="n">
        <v>263</v>
      </c>
      <c r="M198" s="13" t="n">
        <f aca="false">IF(L198="","",L198*$C$2)</f>
        <v>286.67</v>
      </c>
      <c r="N198" s="5" t="s">
        <v>289</v>
      </c>
      <c r="O198" s="11" t="n">
        <v>12</v>
      </c>
      <c r="P198" s="14" t="n">
        <v>2</v>
      </c>
      <c r="Q198" s="15" t="n">
        <v>0.05</v>
      </c>
      <c r="R198" s="5" t="s">
        <v>445</v>
      </c>
      <c r="S198" s="10" t="s">
        <v>395</v>
      </c>
      <c r="T198" s="10" t="s">
        <v>409</v>
      </c>
      <c r="U198" s="13" t="n">
        <f aca="false">IF(OR(O198="",M198="",J198=""),"",IF(OR(D198="Coverage",D198="Thickness"),M198/J198*O198*IF(P198="",1,P198)*(1+IF(Q198="",0,Q198)),IF(O198=0,"",M198/O198*IF(P198="",1,P198)*(1+IF(Q198="",0,Q198)))))</f>
        <v>401.338</v>
      </c>
      <c r="V198" s="16" t="n">
        <v>0</v>
      </c>
    </row>
    <row r="199" customFormat="false" ht="23.85" hidden="false" customHeight="false" outlineLevel="0" collapsed="false">
      <c r="A199" s="8" t="n">
        <v>194</v>
      </c>
      <c r="B199" s="8" t="s">
        <v>284</v>
      </c>
      <c r="C199" s="8" t="s">
        <v>1059</v>
      </c>
      <c r="D199" s="8" t="s">
        <v>44</v>
      </c>
      <c r="E199" s="5" t="s">
        <v>1076</v>
      </c>
      <c r="F199" s="9" t="s">
        <v>1077</v>
      </c>
      <c r="G199" s="10"/>
      <c r="H199" s="10" t="s">
        <v>1075</v>
      </c>
      <c r="I199" s="10" t="n">
        <v>1</v>
      </c>
      <c r="J199" s="11" t="n">
        <v>18</v>
      </c>
      <c r="K199" s="10" t="s">
        <v>417</v>
      </c>
      <c r="L199" s="12" t="n">
        <v>285</v>
      </c>
      <c r="M199" s="13" t="n">
        <f aca="false">IF(L199="","",L199*$C$2)</f>
        <v>310.65</v>
      </c>
      <c r="N199" s="5" t="s">
        <v>289</v>
      </c>
      <c r="O199" s="11" t="n">
        <v>9</v>
      </c>
      <c r="P199" s="14" t="n">
        <v>2</v>
      </c>
      <c r="Q199" s="15" t="n">
        <v>0.05</v>
      </c>
      <c r="R199" s="5" t="s">
        <v>445</v>
      </c>
      <c r="S199" s="10" t="s">
        <v>395</v>
      </c>
      <c r="T199" s="10" t="s">
        <v>409</v>
      </c>
      <c r="U199" s="13" t="n">
        <f aca="false">IF(OR(O199="",M199="",J199=""),"",IF(OR(D199="Coverage",D199="Thickness"),M199/J199*O199*IF(P199="",1,P199)*(1+IF(Q199="",0,Q199)),IF(O199=0,"",M199/O199*IF(P199="",1,P199)*(1+IF(Q199="",0,Q199)))))</f>
        <v>326.1825</v>
      </c>
      <c r="V199" s="16" t="n">
        <v>0</v>
      </c>
    </row>
    <row r="200" customFormat="false" ht="15" hidden="false" customHeight="false" outlineLevel="0" collapsed="false">
      <c r="A200" s="8" t="n">
        <v>195</v>
      </c>
      <c r="B200" s="8" t="s">
        <v>284</v>
      </c>
      <c r="C200" s="8" t="s">
        <v>1059</v>
      </c>
      <c r="D200" s="8" t="s">
        <v>44</v>
      </c>
      <c r="E200" s="5" t="s">
        <v>1078</v>
      </c>
      <c r="F200" s="9" t="s">
        <v>1079</v>
      </c>
      <c r="G200" s="10"/>
      <c r="H200" s="10" t="s">
        <v>1080</v>
      </c>
      <c r="I200" s="10" t="n">
        <v>1</v>
      </c>
      <c r="J200" s="21"/>
      <c r="K200" s="22"/>
      <c r="L200" s="12" t="n">
        <v>140</v>
      </c>
      <c r="M200" s="13" t="n">
        <f aca="false">IF(L200="","",L200*$C$2)</f>
        <v>152.6</v>
      </c>
      <c r="N200" s="5" t="s">
        <v>289</v>
      </c>
      <c r="O200" s="11" t="n">
        <v>10</v>
      </c>
      <c r="P200" s="14" t="n">
        <v>2</v>
      </c>
      <c r="Q200" s="15" t="n">
        <v>0.05</v>
      </c>
      <c r="R200" s="5" t="s">
        <v>1081</v>
      </c>
      <c r="S200" s="10" t="s">
        <v>395</v>
      </c>
      <c r="T200" s="10" t="s">
        <v>409</v>
      </c>
      <c r="U200" s="13" t="str">
        <f aca="false">IF(OR(O200="",M200="",J200=""),"",IF(OR(D200="Coverage",D200="Thickness"),M200/J200*O200*IF(P200="",1,P200)*(1+IF(Q200="",0,Q200)),IF(O200=0,"",M200/O200*IF(P200="",1,P200)*(1+IF(Q200="",0,Q200)))))</f>
        <v/>
      </c>
      <c r="V200" s="16" t="n">
        <v>0</v>
      </c>
    </row>
    <row r="201" customFormat="false" ht="15" hidden="false" customHeight="false" outlineLevel="0" collapsed="false">
      <c r="A201" s="8" t="n">
        <v>196</v>
      </c>
      <c r="B201" s="8" t="s">
        <v>284</v>
      </c>
      <c r="C201" s="8" t="s">
        <v>1059</v>
      </c>
      <c r="D201" s="8" t="s">
        <v>44</v>
      </c>
      <c r="E201" s="5" t="s">
        <v>1082</v>
      </c>
      <c r="F201" s="9" t="s">
        <v>1083</v>
      </c>
      <c r="G201" s="10"/>
      <c r="H201" s="10"/>
      <c r="I201" s="10" t="n">
        <v>1</v>
      </c>
      <c r="J201" s="11" t="n">
        <v>20</v>
      </c>
      <c r="K201" s="10" t="s">
        <v>392</v>
      </c>
      <c r="L201" s="12" t="n">
        <v>300</v>
      </c>
      <c r="M201" s="13" t="n">
        <f aca="false">IF(L201="","",L201*$C$2)</f>
        <v>327</v>
      </c>
      <c r="N201" s="5" t="s">
        <v>444</v>
      </c>
      <c r="O201" s="11" t="n">
        <v>0.3</v>
      </c>
      <c r="P201" s="14" t="n">
        <v>2</v>
      </c>
      <c r="Q201" s="15" t="n">
        <v>0.05</v>
      </c>
      <c r="R201" s="5" t="s">
        <v>445</v>
      </c>
      <c r="S201" s="10" t="s">
        <v>395</v>
      </c>
      <c r="T201" s="10" t="s">
        <v>409</v>
      </c>
      <c r="U201" s="13" t="n">
        <f aca="false">IF(OR(O201="",M201="",J201=""),"",IF(OR(D201="Coverage",D201="Thickness"),M201/J201*O201*IF(P201="",1,P201)*(1+IF(Q201="",0,Q201)),IF(O201=0,"",M201/O201*IF(P201="",1,P201)*(1+IF(Q201="",0,Q201)))))</f>
        <v>10.3005</v>
      </c>
      <c r="V201" s="16" t="n">
        <v>0</v>
      </c>
    </row>
    <row r="202" customFormat="false" ht="15" hidden="false" customHeight="false" outlineLevel="0" collapsed="false">
      <c r="A202" s="8" t="n">
        <v>197</v>
      </c>
      <c r="B202" s="8" t="s">
        <v>298</v>
      </c>
      <c r="C202" s="8" t="s">
        <v>99</v>
      </c>
      <c r="D202" s="8" t="s">
        <v>99</v>
      </c>
      <c r="E202" s="5" t="s">
        <v>1084</v>
      </c>
      <c r="F202" s="9" t="s">
        <v>1085</v>
      </c>
      <c r="G202" s="10"/>
      <c r="H202" s="10"/>
      <c r="I202" s="10" t="n">
        <v>1</v>
      </c>
      <c r="J202" s="11" t="n">
        <v>0.75</v>
      </c>
      <c r="K202" s="10" t="s">
        <v>39</v>
      </c>
      <c r="L202" s="12" t="n">
        <v>17.5</v>
      </c>
      <c r="M202" s="13" t="n">
        <f aca="false">IF(L202="","",L202*$C$2)</f>
        <v>19.075</v>
      </c>
      <c r="N202" s="5" t="s">
        <v>609</v>
      </c>
      <c r="O202" s="11" t="n">
        <v>0.7</v>
      </c>
      <c r="P202" s="14" t="n">
        <v>1</v>
      </c>
      <c r="Q202" s="15" t="n">
        <v>0</v>
      </c>
      <c r="R202" s="5" t="s">
        <v>1086</v>
      </c>
      <c r="S202" s="10" t="s">
        <v>395</v>
      </c>
      <c r="T202" s="10" t="s">
        <v>396</v>
      </c>
      <c r="U202" s="13" t="n">
        <f aca="false">IF(OR(O202="",M202="",J202=""),"",IF(OR(D202="Coverage",D202="Thickness"),M202/J202*O202*IF(P202="",1,P202)*(1+IF(Q202="",0,Q202)),IF(O202=0,"",M202/O202*IF(P202="",1,P202)*(1+IF(Q202="",0,Q202)))))</f>
        <v>27.25</v>
      </c>
      <c r="V202" s="16" t="n">
        <v>0</v>
      </c>
    </row>
    <row r="203" customFormat="false" ht="23.85" hidden="false" customHeight="false" outlineLevel="0" collapsed="false">
      <c r="A203" s="8" t="n">
        <v>198</v>
      </c>
      <c r="B203" s="8" t="s">
        <v>298</v>
      </c>
      <c r="C203" s="8" t="s">
        <v>99</v>
      </c>
      <c r="D203" s="8" t="s">
        <v>99</v>
      </c>
      <c r="E203" s="5" t="s">
        <v>1087</v>
      </c>
      <c r="F203" s="9" t="s">
        <v>1088</v>
      </c>
      <c r="G203" s="10"/>
      <c r="H203" s="10"/>
      <c r="I203" s="10" t="n">
        <v>1</v>
      </c>
      <c r="J203" s="11" t="n">
        <v>0.72</v>
      </c>
      <c r="K203" s="10" t="s">
        <v>39</v>
      </c>
      <c r="L203" s="12" t="n">
        <v>8.5</v>
      </c>
      <c r="M203" s="13" t="n">
        <f aca="false">IF(L203="","",L203*$C$2)</f>
        <v>9.265</v>
      </c>
      <c r="N203" s="5" t="s">
        <v>609</v>
      </c>
      <c r="O203" s="11" t="n">
        <v>0.68</v>
      </c>
      <c r="P203" s="14" t="n">
        <v>1</v>
      </c>
      <c r="Q203" s="15" t="n">
        <v>0</v>
      </c>
      <c r="R203" s="5" t="s">
        <v>1089</v>
      </c>
      <c r="S203" s="10" t="s">
        <v>395</v>
      </c>
      <c r="T203" s="10" t="s">
        <v>396</v>
      </c>
      <c r="U203" s="13" t="n">
        <f aca="false">IF(OR(O203="",M203="",J203=""),"",IF(OR(D203="Coverage",D203="Thickness"),M203/J203*O203*IF(P203="",1,P203)*(1+IF(Q203="",0,Q203)),IF(O203=0,"",M203/O203*IF(P203="",1,P203)*(1+IF(Q203="",0,Q203)))))</f>
        <v>13.625</v>
      </c>
      <c r="V203" s="16" t="n">
        <v>0</v>
      </c>
    </row>
    <row r="204" customFormat="false" ht="15" hidden="false" customHeight="false" outlineLevel="0" collapsed="false">
      <c r="A204" s="8" t="n">
        <v>199</v>
      </c>
      <c r="B204" s="8" t="s">
        <v>298</v>
      </c>
      <c r="C204" s="8" t="s">
        <v>1090</v>
      </c>
      <c r="D204" s="8" t="s">
        <v>44</v>
      </c>
      <c r="E204" s="5" t="s">
        <v>1091</v>
      </c>
      <c r="F204" s="9" t="s">
        <v>1092</v>
      </c>
      <c r="G204" s="10" t="s">
        <v>1093</v>
      </c>
      <c r="H204" s="10" t="s">
        <v>391</v>
      </c>
      <c r="I204" s="10" t="n">
        <v>3</v>
      </c>
      <c r="J204" s="11" t="n">
        <v>50</v>
      </c>
      <c r="K204" s="10" t="s">
        <v>39</v>
      </c>
      <c r="L204" s="12" t="n">
        <v>351</v>
      </c>
      <c r="M204" s="13" t="n">
        <f aca="false">IF(L204="","",L204*$C$2)</f>
        <v>382.59</v>
      </c>
      <c r="N204" s="5" t="s">
        <v>393</v>
      </c>
      <c r="O204" s="11" t="n">
        <v>5</v>
      </c>
      <c r="P204" s="14" t="n">
        <v>1</v>
      </c>
      <c r="Q204" s="15" t="n">
        <v>0.05</v>
      </c>
      <c r="R204" s="5" t="s">
        <v>1094</v>
      </c>
      <c r="S204" s="10" t="s">
        <v>395</v>
      </c>
      <c r="T204" s="10" t="s">
        <v>409</v>
      </c>
      <c r="U204" s="13" t="n">
        <f aca="false">IF(OR(O204="",M204="",J204=""),"",IF(OR(D204="Coverage",D204="Thickness"),M204/J204*O204*IF(P204="",1,P204)*(1+IF(Q204="",0,Q204)),IF(O204=0,"",M204/O204*IF(P204="",1,P204)*(1+IF(Q204="",0,Q204)))))</f>
        <v>40.17195</v>
      </c>
      <c r="V204" s="16" t="n">
        <v>20</v>
      </c>
    </row>
    <row r="205" customFormat="false" ht="23.85" hidden="false" customHeight="false" outlineLevel="0" collapsed="false">
      <c r="A205" s="17" t="n">
        <v>200</v>
      </c>
      <c r="B205" s="17" t="s">
        <v>298</v>
      </c>
      <c r="C205" s="17" t="s">
        <v>1095</v>
      </c>
      <c r="D205" s="17" t="s">
        <v>73</v>
      </c>
      <c r="E205" s="18" t="s">
        <v>1096</v>
      </c>
      <c r="F205" s="19" t="s">
        <v>463</v>
      </c>
      <c r="G205" s="20"/>
      <c r="H205" s="20"/>
      <c r="I205" s="20"/>
      <c r="J205" s="21"/>
      <c r="K205" s="22"/>
      <c r="L205" s="23"/>
      <c r="M205" s="24" t="str">
        <f aca="false">IF(L205="","",L205*$C$2)</f>
        <v/>
      </c>
      <c r="N205" s="18" t="s">
        <v>1097</v>
      </c>
      <c r="O205" s="25" t="n">
        <v>1</v>
      </c>
      <c r="P205" s="26" t="n">
        <v>1</v>
      </c>
      <c r="Q205" s="27" t="n">
        <v>0.1</v>
      </c>
      <c r="R205" s="18" t="s">
        <v>1098</v>
      </c>
      <c r="S205" s="20" t="s">
        <v>395</v>
      </c>
      <c r="T205" s="20" t="s">
        <v>396</v>
      </c>
      <c r="U205" s="24" t="str">
        <f aca="false">IF(OR(O205="",M205="",J205=""),"",IF(OR(D205="Coverage",D205="Thickness"),M205/J205*O205*IF(P205="",1,P205)*(1+IF(Q205="",0,Q205)),IF(O205=0,"",M205/O205*IF(P205="",1,P205)*(1+IF(Q205="",0,Q205)))))</f>
        <v/>
      </c>
      <c r="V205" s="28"/>
    </row>
    <row r="206" customFormat="false" ht="15" hidden="false" customHeight="false" outlineLevel="0" collapsed="false">
      <c r="A206" s="8" t="n">
        <v>201</v>
      </c>
      <c r="B206" s="8" t="s">
        <v>311</v>
      </c>
      <c r="C206" s="8" t="s">
        <v>1099</v>
      </c>
      <c r="D206" s="8" t="s">
        <v>44</v>
      </c>
      <c r="E206" s="5" t="s">
        <v>1100</v>
      </c>
      <c r="F206" s="9" t="s">
        <v>1101</v>
      </c>
      <c r="G206" s="10" t="s">
        <v>1102</v>
      </c>
      <c r="H206" s="10" t="s">
        <v>391</v>
      </c>
      <c r="I206" s="10" t="n">
        <v>1</v>
      </c>
      <c r="J206" s="11" t="n">
        <v>2</v>
      </c>
      <c r="K206" s="10" t="s">
        <v>392</v>
      </c>
      <c r="L206" s="12" t="n">
        <v>86.4</v>
      </c>
      <c r="M206" s="13" t="n">
        <f aca="false">IF(L206="","",L206*$C$2)</f>
        <v>94.176</v>
      </c>
      <c r="N206" s="5" t="s">
        <v>1103</v>
      </c>
      <c r="O206" s="11" t="n">
        <v>0.5</v>
      </c>
      <c r="P206" s="14" t="n">
        <v>1</v>
      </c>
      <c r="Q206" s="15" t="n">
        <v>0.05</v>
      </c>
      <c r="R206" s="5" t="s">
        <v>1104</v>
      </c>
      <c r="S206" s="10" t="s">
        <v>395</v>
      </c>
      <c r="T206" s="10" t="s">
        <v>409</v>
      </c>
      <c r="U206" s="13" t="n">
        <f aca="false">IF(OR(O206="",M206="",J206=""),"",IF(OR(D206="Coverage",D206="Thickness"),M206/J206*O206*IF(P206="",1,P206)*(1+IF(Q206="",0,Q206)),IF(O206=0,"",M206/O206*IF(P206="",1,P206)*(1+IF(Q206="",0,Q206)))))</f>
        <v>24.7212</v>
      </c>
      <c r="V206" s="16" t="n">
        <v>93</v>
      </c>
    </row>
    <row r="207" customFormat="false" ht="15" hidden="false" customHeight="false" outlineLevel="0" collapsed="false">
      <c r="A207" s="8" t="n">
        <v>202</v>
      </c>
      <c r="B207" s="8" t="s">
        <v>311</v>
      </c>
      <c r="C207" s="8" t="s">
        <v>1105</v>
      </c>
      <c r="D207" s="8" t="s">
        <v>44</v>
      </c>
      <c r="E207" s="5" t="s">
        <v>1106</v>
      </c>
      <c r="F207" s="9" t="s">
        <v>1107</v>
      </c>
      <c r="G207" s="10" t="s">
        <v>1108</v>
      </c>
      <c r="H207" s="10" t="s">
        <v>391</v>
      </c>
      <c r="I207" s="10" t="n">
        <v>1</v>
      </c>
      <c r="J207" s="11" t="n">
        <v>4</v>
      </c>
      <c r="K207" s="10" t="s">
        <v>392</v>
      </c>
      <c r="L207" s="12" t="n">
        <v>194.4</v>
      </c>
      <c r="M207" s="13" t="n">
        <f aca="false">IF(L207="","",L207*$C$2)</f>
        <v>211.896</v>
      </c>
      <c r="N207" s="5" t="s">
        <v>1109</v>
      </c>
      <c r="O207" s="29" t="n">
        <v>0.15</v>
      </c>
      <c r="P207" s="30" t="n">
        <v>1</v>
      </c>
      <c r="Q207" s="31" t="n">
        <v>0.05</v>
      </c>
      <c r="R207" s="5" t="s">
        <v>1110</v>
      </c>
      <c r="S207" s="10" t="s">
        <v>395</v>
      </c>
      <c r="T207" s="32" t="s">
        <v>417</v>
      </c>
      <c r="U207" s="13" t="n">
        <f aca="false">IF(OR(O207="",M207="",J207=""),"",IF(OR(D207="Coverage",D207="Thickness"),M207/J207*O207*IF(P207="",1,P207)*(1+IF(Q207="",0,Q207)),IF(O207=0,"",M207/O207*IF(P207="",1,P207)*(1+IF(Q207="",0,Q207)))))</f>
        <v>8.343405</v>
      </c>
      <c r="V207" s="16" t="n">
        <v>44</v>
      </c>
    </row>
    <row r="208" customFormat="false" ht="15" hidden="false" customHeight="false" outlineLevel="0" collapsed="false">
      <c r="A208" s="8" t="n">
        <v>203</v>
      </c>
      <c r="B208" s="8" t="s">
        <v>311</v>
      </c>
      <c r="C208" s="8" t="s">
        <v>1111</v>
      </c>
      <c r="D208" s="8" t="s">
        <v>44</v>
      </c>
      <c r="E208" s="5" t="s">
        <v>1112</v>
      </c>
      <c r="F208" s="9" t="s">
        <v>782</v>
      </c>
      <c r="G208" s="10" t="s">
        <v>783</v>
      </c>
      <c r="H208" s="10" t="s">
        <v>391</v>
      </c>
      <c r="I208" s="10" t="n">
        <v>1</v>
      </c>
      <c r="J208" s="11" t="n">
        <v>5</v>
      </c>
      <c r="K208" s="10" t="s">
        <v>392</v>
      </c>
      <c r="L208" s="12" t="n">
        <v>47.25</v>
      </c>
      <c r="M208" s="13" t="n">
        <f aca="false">IF(L208="","",L208*$C$2)</f>
        <v>51.5025</v>
      </c>
      <c r="N208" s="5" t="s">
        <v>784</v>
      </c>
      <c r="O208" s="11" t="n">
        <v>0.15</v>
      </c>
      <c r="P208" s="14" t="n">
        <v>1</v>
      </c>
      <c r="Q208" s="15" t="n">
        <v>0.05</v>
      </c>
      <c r="R208" s="5" t="s">
        <v>784</v>
      </c>
      <c r="S208" s="10" t="s">
        <v>395</v>
      </c>
      <c r="T208" s="10" t="s">
        <v>409</v>
      </c>
      <c r="U208" s="13" t="n">
        <f aca="false">IF(OR(O208="",M208="",J208=""),"",IF(OR(D208="Coverage",D208="Thickness"),M208/J208*O208*IF(P208="",1,P208)*(1+IF(Q208="",0,Q208)),IF(O208=0,"",M208/O208*IF(P208="",1,P208)*(1+IF(Q208="",0,Q208)))))</f>
        <v>1.62232875</v>
      </c>
      <c r="V208" s="16" t="n">
        <v>51</v>
      </c>
    </row>
    <row r="209" customFormat="false" ht="15" hidden="false" customHeight="false" outlineLevel="0" collapsed="false">
      <c r="A209" s="8" t="n">
        <v>204</v>
      </c>
      <c r="B209" s="8" t="s">
        <v>311</v>
      </c>
      <c r="C209" s="8" t="s">
        <v>1111</v>
      </c>
      <c r="D209" s="8" t="s">
        <v>44</v>
      </c>
      <c r="E209" s="5" t="s">
        <v>1113</v>
      </c>
      <c r="F209" s="9" t="s">
        <v>1114</v>
      </c>
      <c r="G209" s="10" t="s">
        <v>1115</v>
      </c>
      <c r="H209" s="10" t="s">
        <v>391</v>
      </c>
      <c r="I209" s="10" t="n">
        <v>1</v>
      </c>
      <c r="J209" s="11" t="n">
        <v>2</v>
      </c>
      <c r="K209" s="10" t="s">
        <v>392</v>
      </c>
      <c r="L209" s="12" t="n">
        <v>51</v>
      </c>
      <c r="M209" s="13" t="n">
        <f aca="false">IF(L209="","",L209*$C$2)</f>
        <v>55.59</v>
      </c>
      <c r="N209" s="5" t="s">
        <v>784</v>
      </c>
      <c r="O209" s="11" t="n">
        <v>0.15</v>
      </c>
      <c r="P209" s="14" t="n">
        <v>1</v>
      </c>
      <c r="Q209" s="15" t="n">
        <v>0.05</v>
      </c>
      <c r="R209" s="5" t="s">
        <v>784</v>
      </c>
      <c r="S209" s="10" t="s">
        <v>395</v>
      </c>
      <c r="T209" s="10" t="s">
        <v>409</v>
      </c>
      <c r="U209" s="13" t="n">
        <f aca="false">IF(OR(O209="",M209="",J209=""),"",IF(OR(D209="Coverage",D209="Thickness"),M209/J209*O209*IF(P209="",1,P209)*(1+IF(Q209="",0,Q209)),IF(O209=0,"",M209/O209*IF(P209="",1,P209)*(1+IF(Q209="",0,Q209)))))</f>
        <v>4.3777125</v>
      </c>
      <c r="V209" s="16" t="n">
        <v>0</v>
      </c>
    </row>
    <row r="210" customFormat="false" ht="15" hidden="false" customHeight="false" outlineLevel="0" collapsed="false">
      <c r="A210" s="8" t="n">
        <v>205</v>
      </c>
      <c r="B210" s="8" t="s">
        <v>311</v>
      </c>
      <c r="C210" s="8" t="s">
        <v>1116</v>
      </c>
      <c r="D210" s="8" t="s">
        <v>73</v>
      </c>
      <c r="E210" s="5" t="s">
        <v>1117</v>
      </c>
      <c r="F210" s="9" t="s">
        <v>1118</v>
      </c>
      <c r="G210" s="10"/>
      <c r="H210" s="10" t="s">
        <v>391</v>
      </c>
      <c r="I210" s="10" t="n">
        <v>1</v>
      </c>
      <c r="J210" s="11" t="n">
        <v>25</v>
      </c>
      <c r="K210" s="10" t="s">
        <v>392</v>
      </c>
      <c r="L210" s="12" t="n">
        <v>21</v>
      </c>
      <c r="M210" s="13" t="n">
        <f aca="false">IF(L210="","",L210*$C$2)</f>
        <v>22.89</v>
      </c>
      <c r="N210" s="5" t="s">
        <v>760</v>
      </c>
      <c r="O210" s="11" t="n">
        <v>19</v>
      </c>
      <c r="P210" s="14" t="n">
        <v>3</v>
      </c>
      <c r="Q210" s="15" t="n">
        <v>0.05</v>
      </c>
      <c r="R210" s="5" t="s">
        <v>1119</v>
      </c>
      <c r="S210" s="10" t="s">
        <v>395</v>
      </c>
      <c r="T210" s="10" t="s">
        <v>396</v>
      </c>
      <c r="U210" s="13" t="n">
        <f aca="false">IF(OR(O210="",M210="",J210=""),"",IF(OR(D210="Coverage",D210="Thickness"),M210/J210*O210*IF(P210="",1,P210)*(1+IF(Q210="",0,Q210)),IF(O210=0,"",M210/O210*IF(P210="",1,P210)*(1+IF(Q210="",0,Q210)))))</f>
        <v>54.79866</v>
      </c>
      <c r="V210" s="16" t="n">
        <v>0</v>
      </c>
    </row>
    <row r="211" customFormat="false" ht="15" hidden="false" customHeight="false" outlineLevel="0" collapsed="false">
      <c r="A211" s="8" t="n">
        <v>206</v>
      </c>
      <c r="B211" s="8" t="s">
        <v>311</v>
      </c>
      <c r="C211" s="8" t="s">
        <v>1116</v>
      </c>
      <c r="D211" s="8" t="s">
        <v>73</v>
      </c>
      <c r="E211" s="5" t="s">
        <v>1120</v>
      </c>
      <c r="F211" s="9" t="s">
        <v>1121</v>
      </c>
      <c r="G211" s="10" t="s">
        <v>1122</v>
      </c>
      <c r="H211" s="10" t="s">
        <v>391</v>
      </c>
      <c r="I211" s="10" t="n">
        <v>1</v>
      </c>
      <c r="J211" s="11" t="n">
        <v>25</v>
      </c>
      <c r="K211" s="10" t="s">
        <v>392</v>
      </c>
      <c r="L211" s="12" t="n">
        <v>21.75</v>
      </c>
      <c r="M211" s="13" t="n">
        <f aca="false">IF(L211="","",L211*$C$2)</f>
        <v>23.7075</v>
      </c>
      <c r="N211" s="5" t="s">
        <v>760</v>
      </c>
      <c r="O211" s="11" t="n">
        <v>18.5</v>
      </c>
      <c r="P211" s="14" t="n">
        <v>3</v>
      </c>
      <c r="Q211" s="15" t="n">
        <v>0.05</v>
      </c>
      <c r="R211" s="5" t="s">
        <v>1123</v>
      </c>
      <c r="S211" s="10" t="s">
        <v>395</v>
      </c>
      <c r="T211" s="10" t="s">
        <v>396</v>
      </c>
      <c r="U211" s="13" t="n">
        <f aca="false">IF(OR(O211="",M211="",J211=""),"",IF(OR(D211="Coverage",D211="Thickness"),M211/J211*O211*IF(P211="",1,P211)*(1+IF(Q211="",0,Q211)),IF(O211=0,"",M211/O211*IF(P211="",1,P211)*(1+IF(Q211="",0,Q211)))))</f>
        <v>55.2621825</v>
      </c>
      <c r="V211" s="16" t="n">
        <v>244</v>
      </c>
    </row>
    <row r="212" customFormat="false" ht="15" hidden="false" customHeight="false" outlineLevel="0" collapsed="false">
      <c r="A212" s="8" t="n">
        <v>207</v>
      </c>
      <c r="B212" s="8" t="s">
        <v>311</v>
      </c>
      <c r="C212" s="8" t="s">
        <v>1116</v>
      </c>
      <c r="D212" s="8" t="s">
        <v>73</v>
      </c>
      <c r="E212" s="5" t="s">
        <v>1124</v>
      </c>
      <c r="F212" s="9" t="s">
        <v>1125</v>
      </c>
      <c r="G212" s="10" t="s">
        <v>1126</v>
      </c>
      <c r="H212" s="10" t="s">
        <v>391</v>
      </c>
      <c r="I212" s="10" t="n">
        <v>1</v>
      </c>
      <c r="J212" s="11" t="n">
        <v>25</v>
      </c>
      <c r="K212" s="10" t="s">
        <v>392</v>
      </c>
      <c r="L212" s="12" t="n">
        <v>25.25</v>
      </c>
      <c r="M212" s="13" t="n">
        <f aca="false">IF(L212="","",L212*$C$2)</f>
        <v>27.5225</v>
      </c>
      <c r="N212" s="5" t="s">
        <v>760</v>
      </c>
      <c r="O212" s="11" t="n">
        <v>19</v>
      </c>
      <c r="P212" s="14" t="n">
        <v>3</v>
      </c>
      <c r="Q212" s="15" t="n">
        <v>0.05</v>
      </c>
      <c r="R212" s="5"/>
      <c r="S212" s="10" t="s">
        <v>395</v>
      </c>
      <c r="T212" s="10" t="s">
        <v>409</v>
      </c>
      <c r="U212" s="13" t="n">
        <f aca="false">IF(OR(O212="",M212="",J212=""),"",IF(OR(D212="Coverage",D212="Thickness"),M212/J212*O212*IF(P212="",1,P212)*(1+IF(Q212="",0,Q212)),IF(O212=0,"",M212/O212*IF(P212="",1,P212)*(1+IF(Q212="",0,Q212)))))</f>
        <v>65.888865</v>
      </c>
      <c r="V212" s="16" t="n">
        <v>148</v>
      </c>
    </row>
    <row r="213" customFormat="false" ht="15" hidden="false" customHeight="false" outlineLevel="0" collapsed="false">
      <c r="A213" s="8" t="n">
        <v>208</v>
      </c>
      <c r="B213" s="8" t="s">
        <v>311</v>
      </c>
      <c r="C213" s="8" t="s">
        <v>1116</v>
      </c>
      <c r="D213" s="8" t="s">
        <v>73</v>
      </c>
      <c r="E213" s="5" t="s">
        <v>1127</v>
      </c>
      <c r="F213" s="9" t="s">
        <v>1128</v>
      </c>
      <c r="G213" s="10" t="s">
        <v>1129</v>
      </c>
      <c r="H213" s="10" t="s">
        <v>391</v>
      </c>
      <c r="I213" s="10" t="n">
        <v>1</v>
      </c>
      <c r="J213" s="11" t="n">
        <v>25</v>
      </c>
      <c r="K213" s="10" t="s">
        <v>392</v>
      </c>
      <c r="L213" s="12" t="n">
        <v>84.5</v>
      </c>
      <c r="M213" s="13" t="n">
        <f aca="false">IF(L213="","",L213*$C$2)</f>
        <v>92.105</v>
      </c>
      <c r="N213" s="5" t="s">
        <v>760</v>
      </c>
      <c r="O213" s="11" t="n">
        <v>20</v>
      </c>
      <c r="P213" s="14" t="n">
        <v>3</v>
      </c>
      <c r="Q213" s="15" t="n">
        <v>0.05</v>
      </c>
      <c r="R213" s="5"/>
      <c r="S213" s="10" t="s">
        <v>395</v>
      </c>
      <c r="T213" s="10" t="s">
        <v>409</v>
      </c>
      <c r="U213" s="13" t="n">
        <f aca="false">IF(OR(O213="",M213="",J213=""),"",IF(OR(D213="Coverage",D213="Thickness"),M213/J213*O213*IF(P213="",1,P213)*(1+IF(Q213="",0,Q213)),IF(O213=0,"",M213/O213*IF(P213="",1,P213)*(1+IF(Q213="",0,Q213)))))</f>
        <v>232.1046</v>
      </c>
      <c r="V213" s="16" t="n">
        <v>40</v>
      </c>
    </row>
    <row r="214" customFormat="false" ht="15" hidden="false" customHeight="false" outlineLevel="0" collapsed="false">
      <c r="A214" s="8" t="n">
        <v>209</v>
      </c>
      <c r="B214" s="8" t="s">
        <v>311</v>
      </c>
      <c r="C214" s="8" t="s">
        <v>1116</v>
      </c>
      <c r="D214" s="8" t="s">
        <v>73</v>
      </c>
      <c r="E214" s="5" t="s">
        <v>1130</v>
      </c>
      <c r="F214" s="9" t="s">
        <v>1131</v>
      </c>
      <c r="G214" s="10" t="s">
        <v>1132</v>
      </c>
      <c r="H214" s="10" t="s">
        <v>391</v>
      </c>
      <c r="I214" s="10" t="n">
        <v>2</v>
      </c>
      <c r="J214" s="11" t="n">
        <v>25</v>
      </c>
      <c r="K214" s="10" t="s">
        <v>392</v>
      </c>
      <c r="L214" s="12" t="n">
        <v>25.5</v>
      </c>
      <c r="M214" s="13" t="n">
        <f aca="false">IF(L214="","",L214*$C$2)</f>
        <v>27.795</v>
      </c>
      <c r="N214" s="5" t="s">
        <v>760</v>
      </c>
      <c r="O214" s="11" t="n">
        <v>19</v>
      </c>
      <c r="P214" s="14" t="n">
        <v>3</v>
      </c>
      <c r="Q214" s="15" t="n">
        <v>0.1</v>
      </c>
      <c r="R214" s="5" t="s">
        <v>1133</v>
      </c>
      <c r="S214" s="10" t="s">
        <v>395</v>
      </c>
      <c r="T214" s="10" t="s">
        <v>409</v>
      </c>
      <c r="U214" s="13" t="n">
        <f aca="false">IF(OR(O214="",M214="",J214=""),"",IF(OR(D214="Coverage",D214="Thickness"),M214/J214*O214*IF(P214="",1,P214)*(1+IF(Q214="",0,Q214)),IF(O214=0,"",M214/O214*IF(P214="",1,P214)*(1+IF(Q214="",0,Q214)))))</f>
        <v>69.70986</v>
      </c>
      <c r="V214" s="16" t="n">
        <v>0</v>
      </c>
    </row>
    <row r="215" customFormat="false" ht="15" hidden="false" customHeight="false" outlineLevel="0" collapsed="false">
      <c r="A215" s="8" t="n">
        <v>210</v>
      </c>
      <c r="B215" s="8" t="s">
        <v>311</v>
      </c>
      <c r="C215" s="8" t="s">
        <v>1116</v>
      </c>
      <c r="D215" s="8" t="s">
        <v>73</v>
      </c>
      <c r="E215" s="5" t="s">
        <v>1134</v>
      </c>
      <c r="F215" s="9" t="s">
        <v>1135</v>
      </c>
      <c r="G215" s="10" t="s">
        <v>1136</v>
      </c>
      <c r="H215" s="10" t="s">
        <v>391</v>
      </c>
      <c r="I215" s="10" t="n">
        <v>3</v>
      </c>
      <c r="J215" s="11" t="n">
        <v>20</v>
      </c>
      <c r="K215" s="10" t="s">
        <v>392</v>
      </c>
      <c r="L215" s="12" t="n">
        <v>20.4</v>
      </c>
      <c r="M215" s="13" t="n">
        <f aca="false">IF(L215="","",L215*$C$2)</f>
        <v>22.236</v>
      </c>
      <c r="N215" s="5" t="s">
        <v>431</v>
      </c>
      <c r="O215" s="11" t="n">
        <v>1.4</v>
      </c>
      <c r="P215" s="14" t="n">
        <v>3</v>
      </c>
      <c r="Q215" s="15" t="n">
        <v>0.05</v>
      </c>
      <c r="R215" s="5" t="s">
        <v>1137</v>
      </c>
      <c r="S215" s="10" t="s">
        <v>395</v>
      </c>
      <c r="T215" s="10" t="s">
        <v>409</v>
      </c>
      <c r="U215" s="13" t="n">
        <f aca="false">IF(OR(O215="",M215="",J215=""),"",IF(OR(D215="Coverage",D215="Thickness"),M215/J215*O215*IF(P215="",1,P215)*(1+IF(Q215="",0,Q215)),IF(O215=0,"",M215/O215*IF(P215="",1,P215)*(1+IF(Q215="",0,Q215)))))</f>
        <v>4.903038</v>
      </c>
      <c r="V215" s="16" t="n">
        <v>67</v>
      </c>
    </row>
    <row r="216" customFormat="false" ht="15" hidden="false" customHeight="false" outlineLevel="0" collapsed="false">
      <c r="A216" s="8" t="n">
        <v>211</v>
      </c>
      <c r="B216" s="8" t="s">
        <v>311</v>
      </c>
      <c r="C216" s="8" t="s">
        <v>1116</v>
      </c>
      <c r="D216" s="8" t="s">
        <v>73</v>
      </c>
      <c r="E216" s="5" t="s">
        <v>1138</v>
      </c>
      <c r="F216" s="9" t="s">
        <v>1139</v>
      </c>
      <c r="G216" s="10"/>
      <c r="H216" s="10" t="s">
        <v>483</v>
      </c>
      <c r="I216" s="10" t="n">
        <v>1</v>
      </c>
      <c r="J216" s="11" t="n">
        <v>25</v>
      </c>
      <c r="K216" s="10" t="s">
        <v>392</v>
      </c>
      <c r="L216" s="12" t="n">
        <v>19.9</v>
      </c>
      <c r="M216" s="13" t="n">
        <f aca="false">IF(L216="","",L216*$C$2)</f>
        <v>21.691</v>
      </c>
      <c r="N216" s="5" t="s">
        <v>760</v>
      </c>
      <c r="O216" s="11" t="n">
        <v>19</v>
      </c>
      <c r="P216" s="14" t="n">
        <v>3</v>
      </c>
      <c r="Q216" s="15" t="n">
        <v>0.05</v>
      </c>
      <c r="R216" s="5" t="s">
        <v>764</v>
      </c>
      <c r="S216" s="10" t="s">
        <v>395</v>
      </c>
      <c r="T216" s="10" t="s">
        <v>409</v>
      </c>
      <c r="U216" s="13" t="n">
        <f aca="false">IF(OR(O216="",M216="",J216=""),"",IF(OR(D216="Coverage",D216="Thickness"),M216/J216*O216*IF(P216="",1,P216)*(1+IF(Q216="",0,Q216)),IF(O216=0,"",M216/O216*IF(P216="",1,P216)*(1+IF(Q216="",0,Q216)))))</f>
        <v>51.928254</v>
      </c>
      <c r="V216" s="16" t="n">
        <v>0</v>
      </c>
    </row>
    <row r="217" customFormat="false" ht="15" hidden="false" customHeight="false" outlineLevel="0" collapsed="false">
      <c r="A217" s="8" t="n">
        <v>212</v>
      </c>
      <c r="B217" s="8" t="s">
        <v>311</v>
      </c>
      <c r="C217" s="8" t="s">
        <v>1116</v>
      </c>
      <c r="D217" s="8" t="s">
        <v>73</v>
      </c>
      <c r="E217" s="5" t="s">
        <v>1140</v>
      </c>
      <c r="F217" s="9" t="s">
        <v>1141</v>
      </c>
      <c r="G217" s="10"/>
      <c r="H217" s="10" t="s">
        <v>483</v>
      </c>
      <c r="I217" s="10" t="n">
        <v>1</v>
      </c>
      <c r="J217" s="11" t="n">
        <v>25</v>
      </c>
      <c r="K217" s="10" t="s">
        <v>392</v>
      </c>
      <c r="L217" s="12" t="n">
        <v>24</v>
      </c>
      <c r="M217" s="13" t="n">
        <f aca="false">IF(L217="","",L217*$C$2)</f>
        <v>26.16</v>
      </c>
      <c r="N217" s="5" t="s">
        <v>431</v>
      </c>
      <c r="O217" s="11" t="n">
        <v>1.5</v>
      </c>
      <c r="P217" s="14" t="n">
        <v>2</v>
      </c>
      <c r="Q217" s="15" t="n">
        <v>0.05</v>
      </c>
      <c r="R217" s="5" t="s">
        <v>626</v>
      </c>
      <c r="S217" s="10" t="s">
        <v>395</v>
      </c>
      <c r="T217" s="10" t="s">
        <v>409</v>
      </c>
      <c r="U217" s="13" t="n">
        <f aca="false">IF(OR(O217="",M217="",J217=""),"",IF(OR(D217="Coverage",D217="Thickness"),M217/J217*O217*IF(P217="",1,P217)*(1+IF(Q217="",0,Q217)),IF(O217=0,"",M217/O217*IF(P217="",1,P217)*(1+IF(Q217="",0,Q217)))))</f>
        <v>3.29616</v>
      </c>
      <c r="V217" s="16" t="n">
        <v>0</v>
      </c>
    </row>
    <row r="218" customFormat="false" ht="15" hidden="false" customHeight="false" outlineLevel="0" collapsed="false">
      <c r="A218" s="8" t="n">
        <v>213</v>
      </c>
      <c r="B218" s="8" t="s">
        <v>311</v>
      </c>
      <c r="C218" s="8" t="s">
        <v>1116</v>
      </c>
      <c r="D218" s="8" t="s">
        <v>73</v>
      </c>
      <c r="E218" s="5" t="s">
        <v>1142</v>
      </c>
      <c r="F218" s="9" t="s">
        <v>1143</v>
      </c>
      <c r="G218" s="10"/>
      <c r="H218" s="10" t="s">
        <v>483</v>
      </c>
      <c r="I218" s="10" t="n">
        <v>1</v>
      </c>
      <c r="J218" s="11" t="n">
        <v>25</v>
      </c>
      <c r="K218" s="10" t="s">
        <v>392</v>
      </c>
      <c r="L218" s="12" t="n">
        <v>23.5</v>
      </c>
      <c r="M218" s="13" t="n">
        <f aca="false">IF(L218="","",L218*$C$2)</f>
        <v>25.615</v>
      </c>
      <c r="N218" s="5" t="s">
        <v>760</v>
      </c>
      <c r="O218" s="11" t="n">
        <v>20</v>
      </c>
      <c r="P218" s="14" t="n">
        <v>3</v>
      </c>
      <c r="Q218" s="15" t="n">
        <v>0.05</v>
      </c>
      <c r="R218" s="5" t="s">
        <v>764</v>
      </c>
      <c r="S218" s="10" t="s">
        <v>395</v>
      </c>
      <c r="T218" s="10" t="s">
        <v>409</v>
      </c>
      <c r="U218" s="13" t="n">
        <f aca="false">IF(OR(O218="",M218="",J218=""),"",IF(OR(D218="Coverage",D218="Thickness"),M218/J218*O218*IF(P218="",1,P218)*(1+IF(Q218="",0,Q218)),IF(O218=0,"",M218/O218*IF(P218="",1,P218)*(1+IF(Q218="",0,Q218)))))</f>
        <v>64.5498</v>
      </c>
      <c r="V218" s="16" t="n">
        <v>0</v>
      </c>
    </row>
    <row r="219" customFormat="false" ht="15" hidden="false" customHeight="false" outlineLevel="0" collapsed="false">
      <c r="A219" s="8" t="n">
        <v>214</v>
      </c>
      <c r="B219" s="8" t="s">
        <v>311</v>
      </c>
      <c r="C219" s="8" t="s">
        <v>1144</v>
      </c>
      <c r="D219" s="8" t="s">
        <v>44</v>
      </c>
      <c r="E219" s="5" t="s">
        <v>1145</v>
      </c>
      <c r="F219" s="9" t="s">
        <v>1146</v>
      </c>
      <c r="G219" s="10" t="s">
        <v>1147</v>
      </c>
      <c r="H219" s="10" t="s">
        <v>1148</v>
      </c>
      <c r="I219" s="10" t="n">
        <v>1</v>
      </c>
      <c r="J219" s="11" t="n">
        <v>10</v>
      </c>
      <c r="K219" s="10" t="s">
        <v>392</v>
      </c>
      <c r="L219" s="12" t="n">
        <v>50</v>
      </c>
      <c r="M219" s="13" t="n">
        <f aca="false">IF(L219="","",L219*$C$2)</f>
        <v>54.5</v>
      </c>
      <c r="N219" s="5" t="s">
        <v>330</v>
      </c>
      <c r="O219" s="29" t="n">
        <v>1</v>
      </c>
      <c r="P219" s="30" t="n">
        <v>1</v>
      </c>
      <c r="Q219" s="31" t="n">
        <v>0</v>
      </c>
      <c r="R219" s="5" t="s">
        <v>330</v>
      </c>
      <c r="S219" s="10" t="s">
        <v>395</v>
      </c>
      <c r="T219" s="32" t="s">
        <v>417</v>
      </c>
      <c r="U219" s="13" t="n">
        <f aca="false">IF(OR(O219="",M219="",J219=""),"",IF(OR(D219="Coverage",D219="Thickness"),M219/J219*O219*IF(P219="",1,P219)*(1+IF(Q219="",0,Q219)),IF(O219=0,"",M219/O219*IF(P219="",1,P219)*(1+IF(Q219="",0,Q219)))))</f>
        <v>5.45</v>
      </c>
      <c r="V219" s="16" t="n">
        <v>0</v>
      </c>
    </row>
    <row r="220" customFormat="false" ht="15" hidden="false" customHeight="false" outlineLevel="0" collapsed="false">
      <c r="A220" s="8" t="n">
        <v>215</v>
      </c>
      <c r="B220" s="8" t="s">
        <v>311</v>
      </c>
      <c r="C220" s="8" t="s">
        <v>1149</v>
      </c>
      <c r="D220" s="8" t="s">
        <v>55</v>
      </c>
      <c r="E220" s="5" t="s">
        <v>1150</v>
      </c>
      <c r="F220" s="9" t="s">
        <v>1151</v>
      </c>
      <c r="G220" s="10" t="s">
        <v>1152</v>
      </c>
      <c r="H220" s="10" t="s">
        <v>391</v>
      </c>
      <c r="I220" s="10" t="n">
        <v>1</v>
      </c>
      <c r="J220" s="11" t="n">
        <v>50</v>
      </c>
      <c r="K220" s="10" t="s">
        <v>114</v>
      </c>
      <c r="L220" s="12" t="n">
        <v>2227.5</v>
      </c>
      <c r="M220" s="13" t="n">
        <f aca="false">IF(L220="","",L220*$C$2)</f>
        <v>2427.975</v>
      </c>
      <c r="N220" s="5" t="s">
        <v>538</v>
      </c>
      <c r="O220" s="11" t="n">
        <v>50</v>
      </c>
      <c r="P220" s="14" t="n">
        <v>1</v>
      </c>
      <c r="Q220" s="15" t="n">
        <v>0.05</v>
      </c>
      <c r="R220" s="5" t="s">
        <v>538</v>
      </c>
      <c r="S220" s="10" t="s">
        <v>395</v>
      </c>
      <c r="T220" s="10" t="s">
        <v>396</v>
      </c>
      <c r="U220" s="13" t="n">
        <f aca="false">IF(OR(O220="",M220="",J220=""),"",IF(OR(D220="Coverage",D220="Thickness"),M220/J220*O220*IF(P220="",1,P220)*(1+IF(Q220="",0,Q220)),IF(O220=0,"",M220/O220*IF(P220="",1,P220)*(1+IF(Q220="",0,Q220)))))</f>
        <v>50.987475</v>
      </c>
      <c r="V220" s="16" t="n">
        <v>0</v>
      </c>
    </row>
    <row r="221" customFormat="false" ht="15" hidden="false" customHeight="false" outlineLevel="0" collapsed="false">
      <c r="A221" s="8" t="n">
        <v>216</v>
      </c>
      <c r="B221" s="8" t="s">
        <v>311</v>
      </c>
      <c r="C221" s="8" t="s">
        <v>1149</v>
      </c>
      <c r="D221" s="8" t="s">
        <v>44</v>
      </c>
      <c r="E221" s="5" t="s">
        <v>1153</v>
      </c>
      <c r="F221" s="9" t="s">
        <v>1154</v>
      </c>
      <c r="G221" s="10" t="s">
        <v>1155</v>
      </c>
      <c r="H221" s="10" t="s">
        <v>391</v>
      </c>
      <c r="I221" s="10" t="n">
        <v>1</v>
      </c>
      <c r="J221" s="11" t="n">
        <v>2</v>
      </c>
      <c r="K221" s="10" t="s">
        <v>392</v>
      </c>
      <c r="L221" s="12" t="n">
        <v>140.4</v>
      </c>
      <c r="M221" s="13" t="n">
        <f aca="false">IF(L221="","",L221*$C$2)</f>
        <v>153.036</v>
      </c>
      <c r="N221" s="5" t="s">
        <v>393</v>
      </c>
      <c r="O221" s="11" t="n">
        <v>0.3</v>
      </c>
      <c r="P221" s="14" t="n">
        <v>1</v>
      </c>
      <c r="Q221" s="15" t="n">
        <v>0.05</v>
      </c>
      <c r="R221" s="5"/>
      <c r="S221" s="10" t="s">
        <v>395</v>
      </c>
      <c r="T221" s="10" t="s">
        <v>409</v>
      </c>
      <c r="U221" s="13" t="n">
        <f aca="false">IF(OR(O221="",M221="",J221=""),"",IF(OR(D221="Coverage",D221="Thickness"),M221/J221*O221*IF(P221="",1,P221)*(1+IF(Q221="",0,Q221)),IF(O221=0,"",M221/O221*IF(P221="",1,P221)*(1+IF(Q221="",0,Q221)))))</f>
        <v>24.10317</v>
      </c>
      <c r="V221" s="16" t="n">
        <v>0</v>
      </c>
    </row>
    <row r="222" customFormat="false" ht="15" hidden="false" customHeight="false" outlineLevel="0" collapsed="false">
      <c r="A222" s="8" t="n">
        <v>217</v>
      </c>
      <c r="B222" s="8" t="s">
        <v>311</v>
      </c>
      <c r="C222" s="8" t="s">
        <v>1149</v>
      </c>
      <c r="D222" s="8" t="s">
        <v>44</v>
      </c>
      <c r="E222" s="5" t="s">
        <v>1156</v>
      </c>
      <c r="F222" s="9" t="s">
        <v>1157</v>
      </c>
      <c r="G222" s="10" t="s">
        <v>1158</v>
      </c>
      <c r="H222" s="10" t="s">
        <v>391</v>
      </c>
      <c r="I222" s="10" t="n">
        <v>1</v>
      </c>
      <c r="J222" s="11" t="n">
        <v>5</v>
      </c>
      <c r="K222" s="10" t="s">
        <v>392</v>
      </c>
      <c r="L222" s="12" t="n">
        <v>263.25</v>
      </c>
      <c r="M222" s="13" t="n">
        <f aca="false">IF(L222="","",L222*$C$2)</f>
        <v>286.9425</v>
      </c>
      <c r="N222" s="5" t="s">
        <v>1159</v>
      </c>
      <c r="O222" s="11" t="n">
        <v>1.2</v>
      </c>
      <c r="P222" s="14" t="n">
        <v>1</v>
      </c>
      <c r="Q222" s="15" t="n">
        <v>0.05</v>
      </c>
      <c r="R222" s="5" t="s">
        <v>1160</v>
      </c>
      <c r="S222" s="10" t="s">
        <v>395</v>
      </c>
      <c r="T222" s="10" t="s">
        <v>409</v>
      </c>
      <c r="U222" s="13" t="n">
        <f aca="false">IF(OR(O222="",M222="",J222=""),"",IF(OR(D222="Coverage",D222="Thickness"),M222/J222*O222*IF(P222="",1,P222)*(1+IF(Q222="",0,Q222)),IF(O222=0,"",M222/O222*IF(P222="",1,P222)*(1+IF(Q222="",0,Q222)))))</f>
        <v>72.30951</v>
      </c>
      <c r="V222" s="16" t="n">
        <v>0</v>
      </c>
    </row>
    <row r="223" customFormat="false" ht="15" hidden="false" customHeight="false" outlineLevel="0" collapsed="false">
      <c r="A223" s="8" t="n">
        <v>218</v>
      </c>
      <c r="B223" s="8" t="s">
        <v>311</v>
      </c>
      <c r="C223" s="8" t="s">
        <v>1149</v>
      </c>
      <c r="D223" s="8" t="s">
        <v>44</v>
      </c>
      <c r="E223" s="5" t="s">
        <v>1161</v>
      </c>
      <c r="F223" s="9" t="s">
        <v>1162</v>
      </c>
      <c r="G223" s="10" t="s">
        <v>1163</v>
      </c>
      <c r="H223" s="10" t="s">
        <v>391</v>
      </c>
      <c r="I223" s="10" t="n">
        <v>1</v>
      </c>
      <c r="J223" s="11" t="n">
        <v>5</v>
      </c>
      <c r="K223" s="10" t="s">
        <v>392</v>
      </c>
      <c r="L223" s="12" t="n">
        <v>272.25</v>
      </c>
      <c r="M223" s="13" t="n">
        <f aca="false">IF(L223="","",L223*$C$2)</f>
        <v>296.7525</v>
      </c>
      <c r="N223" s="5" t="s">
        <v>393</v>
      </c>
      <c r="O223" s="11" t="n">
        <v>1.2</v>
      </c>
      <c r="P223" s="14" t="n">
        <v>1</v>
      </c>
      <c r="Q223" s="15" t="n">
        <v>0.05</v>
      </c>
      <c r="R223" s="5"/>
      <c r="S223" s="10" t="s">
        <v>395</v>
      </c>
      <c r="T223" s="10" t="s">
        <v>409</v>
      </c>
      <c r="U223" s="13" t="n">
        <f aca="false">IF(OR(O223="",M223="",J223=""),"",IF(OR(D223="Coverage",D223="Thickness"),M223/J223*O223*IF(P223="",1,P223)*(1+IF(Q223="",0,Q223)),IF(O223=0,"",M223/O223*IF(P223="",1,P223)*(1+IF(Q223="",0,Q223)))))</f>
        <v>74.78163</v>
      </c>
      <c r="V223" s="16" t="n">
        <v>0</v>
      </c>
    </row>
    <row r="224" customFormat="false" ht="15" hidden="false" customHeight="false" outlineLevel="0" collapsed="false">
      <c r="A224" s="8" t="n">
        <v>219</v>
      </c>
      <c r="B224" s="8" t="s">
        <v>311</v>
      </c>
      <c r="C224" s="8" t="s">
        <v>1149</v>
      </c>
      <c r="D224" s="8" t="s">
        <v>44</v>
      </c>
      <c r="E224" s="5" t="s">
        <v>1164</v>
      </c>
      <c r="F224" s="9" t="s">
        <v>1165</v>
      </c>
      <c r="G224" s="10" t="s">
        <v>1166</v>
      </c>
      <c r="H224" s="10" t="s">
        <v>391</v>
      </c>
      <c r="I224" s="10" t="n">
        <v>1</v>
      </c>
      <c r="J224" s="11" t="n">
        <v>10</v>
      </c>
      <c r="K224" s="10" t="s">
        <v>114</v>
      </c>
      <c r="L224" s="12" t="n">
        <v>495</v>
      </c>
      <c r="M224" s="13" t="n">
        <f aca="false">IF(L224="","",L224*$C$2)</f>
        <v>539.55</v>
      </c>
      <c r="N224" s="5" t="s">
        <v>1167</v>
      </c>
      <c r="O224" s="11" t="n">
        <v>10</v>
      </c>
      <c r="P224" s="14" t="n">
        <v>1</v>
      </c>
      <c r="Q224" s="15" t="n">
        <v>0</v>
      </c>
      <c r="R224" s="5" t="s">
        <v>1167</v>
      </c>
      <c r="S224" s="10" t="s">
        <v>395</v>
      </c>
      <c r="T224" s="10" t="s">
        <v>396</v>
      </c>
      <c r="U224" s="13" t="n">
        <f aca="false">IF(OR(O224="",M224="",J224=""),"",IF(OR(D224="Coverage",D224="Thickness"),M224/J224*O224*IF(P224="",1,P224)*(1+IF(Q224="",0,Q224)),IF(O224=0,"",M224/O224*IF(P224="",1,P224)*(1+IF(Q224="",0,Q224)))))</f>
        <v>539.55</v>
      </c>
      <c r="V224" s="16" t="n">
        <v>0</v>
      </c>
    </row>
  </sheetData>
  <autoFilter ref="A5:V224"/>
  <dataValidations count="1">
    <dataValidation allowBlank="true" error="Enter waste as a fraction, e.g. 0.05 for 5%" errorStyle="stop" operator="between" showDropDown="false" showErrorMessage="false" showInputMessage="false" sqref="Q6:Q224"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0"/>
    <col collapsed="false" customWidth="true" hidden="false" outlineLevel="0" max="3" min="3" style="0" width="7"/>
    <col collapsed="false" customWidth="true" hidden="false" outlineLevel="0" max="4" min="4" style="0" width="18"/>
    <col collapsed="false" customWidth="true" hidden="false" outlineLevel="0" max="5" min="5" style="0" width="36"/>
    <col collapsed="false" customWidth="true" hidden="false" outlineLevel="0" max="6" min="6" style="0" width="13"/>
    <col collapsed="false" customWidth="true" hidden="false" outlineLevel="0" max="7" min="7" style="0" width="44"/>
  </cols>
  <sheetData>
    <row r="1" customFormat="false" ht="17.35" hidden="false" customHeight="false" outlineLevel="0" collapsed="false">
      <c r="A1" s="1" t="s">
        <v>1168</v>
      </c>
    </row>
    <row r="3" customFormat="false" ht="15" hidden="false" customHeight="false" outlineLevel="0" collapsed="false">
      <c r="A3" s="4" t="s">
        <v>24</v>
      </c>
      <c r="B3" s="4" t="s">
        <v>1169</v>
      </c>
      <c r="C3" s="4" t="s">
        <v>1170</v>
      </c>
      <c r="D3" s="4" t="s">
        <v>1171</v>
      </c>
      <c r="E3" s="4" t="s">
        <v>1172</v>
      </c>
      <c r="F3" s="4" t="s">
        <v>1173</v>
      </c>
      <c r="G3" s="4" t="s">
        <v>1174</v>
      </c>
    </row>
    <row r="4" customFormat="false" ht="23.85" hidden="false" customHeight="false" outlineLevel="0" collapsed="false">
      <c r="A4" s="5" t="s">
        <v>1175</v>
      </c>
      <c r="B4" s="33" t="n">
        <v>15</v>
      </c>
      <c r="C4" s="5" t="s">
        <v>39</v>
      </c>
      <c r="D4" s="5" t="s">
        <v>1176</v>
      </c>
      <c r="E4" s="5" t="s">
        <v>1177</v>
      </c>
      <c r="F4" s="5" t="s">
        <v>1178</v>
      </c>
      <c r="G4" s="5"/>
    </row>
    <row r="5" customFormat="false" ht="15" hidden="false" customHeight="false" outlineLevel="0" collapsed="false">
      <c r="A5" s="5" t="s">
        <v>1179</v>
      </c>
      <c r="B5" s="33" t="n">
        <v>15</v>
      </c>
      <c r="C5" s="5" t="s">
        <v>39</v>
      </c>
      <c r="D5" s="5" t="s">
        <v>1180</v>
      </c>
      <c r="E5" s="5" t="s">
        <v>1181</v>
      </c>
      <c r="F5" s="5" t="s">
        <v>1182</v>
      </c>
      <c r="G5" s="5" t="s">
        <v>1183</v>
      </c>
    </row>
    <row r="6" customFormat="false" ht="15" hidden="false" customHeight="false" outlineLevel="0" collapsed="false">
      <c r="A6" s="5" t="s">
        <v>1184</v>
      </c>
      <c r="B6" s="33" t="n">
        <v>85.7</v>
      </c>
      <c r="C6" s="5" t="s">
        <v>39</v>
      </c>
      <c r="D6" s="5" t="s">
        <v>1185</v>
      </c>
      <c r="E6" s="5" t="s">
        <v>1186</v>
      </c>
      <c r="F6" s="5" t="s">
        <v>1187</v>
      </c>
      <c r="G6" s="5" t="s">
        <v>1188</v>
      </c>
    </row>
    <row r="7" customFormat="false" ht="15" hidden="false" customHeight="false" outlineLevel="0" collapsed="false">
      <c r="A7" s="5" t="s">
        <v>1189</v>
      </c>
      <c r="B7" s="33" t="n">
        <v>75</v>
      </c>
      <c r="C7" s="5" t="s">
        <v>39</v>
      </c>
      <c r="D7" s="5" t="s">
        <v>1190</v>
      </c>
      <c r="E7" s="5" t="s">
        <v>1191</v>
      </c>
      <c r="F7" s="5" t="s">
        <v>1192</v>
      </c>
      <c r="G7" s="5" t="s">
        <v>1193</v>
      </c>
    </row>
    <row r="8" customFormat="false" ht="15" hidden="false" customHeight="false" outlineLevel="0" collapsed="false">
      <c r="A8" s="5" t="s">
        <v>1194</v>
      </c>
      <c r="B8" s="33" t="n">
        <v>1800</v>
      </c>
      <c r="C8" s="5" t="s">
        <v>1195</v>
      </c>
      <c r="D8" s="5" t="s">
        <v>1196</v>
      </c>
      <c r="E8" s="5" t="s">
        <v>1197</v>
      </c>
      <c r="F8" s="5" t="s">
        <v>1198</v>
      </c>
      <c r="G8" s="5" t="s">
        <v>1199</v>
      </c>
    </row>
    <row r="9" customFormat="false" ht="15" hidden="false" customHeight="false" outlineLevel="0" collapsed="false">
      <c r="A9" s="5" t="s">
        <v>1200</v>
      </c>
      <c r="B9" s="33" t="n">
        <v>120</v>
      </c>
      <c r="C9" s="5" t="s">
        <v>39</v>
      </c>
      <c r="D9" s="5" t="s">
        <v>1201</v>
      </c>
      <c r="E9" s="5" t="s">
        <v>1202</v>
      </c>
      <c r="F9" s="5" t="s">
        <v>1187</v>
      </c>
      <c r="G9" s="5" t="s">
        <v>1203</v>
      </c>
    </row>
    <row r="10" customFormat="false" ht="15" hidden="false" customHeight="false" outlineLevel="0" collapsed="false">
      <c r="A10" s="5" t="s">
        <v>1200</v>
      </c>
      <c r="B10" s="33" t="n">
        <v>130</v>
      </c>
      <c r="C10" s="5" t="s">
        <v>39</v>
      </c>
      <c r="D10" s="5" t="s">
        <v>1190</v>
      </c>
      <c r="E10" s="5" t="s">
        <v>1191</v>
      </c>
      <c r="F10" s="5" t="s">
        <v>1192</v>
      </c>
      <c r="G10" s="5"/>
    </row>
    <row r="11" customFormat="false" ht="15" hidden="false" customHeight="false" outlineLevel="0" collapsed="false">
      <c r="A11" s="5" t="s">
        <v>1204</v>
      </c>
      <c r="B11" s="33" t="n">
        <v>205</v>
      </c>
      <c r="C11" s="5" t="s">
        <v>39</v>
      </c>
      <c r="D11" s="5" t="s">
        <v>1185</v>
      </c>
      <c r="E11" s="5" t="s">
        <v>1186</v>
      </c>
      <c r="F11" s="5" t="s">
        <v>1187</v>
      </c>
      <c r="G11" s="5"/>
    </row>
    <row r="12" customFormat="false" ht="15" hidden="false" customHeight="false" outlineLevel="0" collapsed="false">
      <c r="A12" s="5" t="s">
        <v>1205</v>
      </c>
      <c r="B12" s="33" t="n">
        <v>58</v>
      </c>
      <c r="C12" s="5" t="s">
        <v>39</v>
      </c>
      <c r="D12" s="5" t="s">
        <v>1206</v>
      </c>
      <c r="E12" s="5" t="s">
        <v>1207</v>
      </c>
      <c r="F12" s="5" t="s">
        <v>1187</v>
      </c>
      <c r="G12" s="5" t="s">
        <v>1208</v>
      </c>
    </row>
    <row r="13" customFormat="false" ht="15" hidden="false" customHeight="false" outlineLevel="0" collapsed="false">
      <c r="A13" s="5" t="s">
        <v>1205</v>
      </c>
      <c r="B13" s="33" t="n">
        <v>55</v>
      </c>
      <c r="C13" s="5" t="s">
        <v>39</v>
      </c>
      <c r="D13" s="5" t="s">
        <v>1209</v>
      </c>
      <c r="E13" s="5" t="s">
        <v>1207</v>
      </c>
      <c r="F13" s="5" t="s">
        <v>1187</v>
      </c>
      <c r="G13" s="5"/>
    </row>
    <row r="14" customFormat="false" ht="15" hidden="false" customHeight="false" outlineLevel="0" collapsed="false">
      <c r="A14" s="5" t="s">
        <v>1210</v>
      </c>
      <c r="B14" s="33" t="n">
        <v>50</v>
      </c>
      <c r="C14" s="5" t="s">
        <v>39</v>
      </c>
      <c r="D14" s="5" t="s">
        <v>1201</v>
      </c>
      <c r="E14" s="5" t="s">
        <v>1202</v>
      </c>
      <c r="F14" s="5" t="s">
        <v>1187</v>
      </c>
      <c r="G14" s="5" t="s">
        <v>1203</v>
      </c>
    </row>
    <row r="15" customFormat="false" ht="15" hidden="false" customHeight="false" outlineLevel="0" collapsed="false">
      <c r="A15" s="5" t="s">
        <v>1211</v>
      </c>
      <c r="B15" s="33" t="n">
        <v>85</v>
      </c>
      <c r="C15" s="5" t="s">
        <v>39</v>
      </c>
      <c r="D15" s="5" t="s">
        <v>1209</v>
      </c>
      <c r="E15" s="5" t="s">
        <v>1207</v>
      </c>
      <c r="F15" s="5" t="s">
        <v>1187</v>
      </c>
      <c r="G15" s="5" t="s">
        <v>1212</v>
      </c>
    </row>
    <row r="16" customFormat="false" ht="15" hidden="false" customHeight="false" outlineLevel="0" collapsed="false">
      <c r="A16" s="5" t="s">
        <v>1213</v>
      </c>
      <c r="B16" s="33" t="n">
        <v>140</v>
      </c>
      <c r="C16" s="5" t="s">
        <v>39</v>
      </c>
      <c r="D16" s="5" t="s">
        <v>1214</v>
      </c>
      <c r="E16" s="5" t="s">
        <v>1215</v>
      </c>
      <c r="F16" s="5" t="s">
        <v>1216</v>
      </c>
      <c r="G16" s="5" t="s">
        <v>1217</v>
      </c>
    </row>
    <row r="17" customFormat="false" ht="15" hidden="false" customHeight="false" outlineLevel="0" collapsed="false">
      <c r="A17" s="5" t="s">
        <v>1218</v>
      </c>
      <c r="B17" s="33" t="n">
        <v>65</v>
      </c>
      <c r="C17" s="5" t="s">
        <v>39</v>
      </c>
      <c r="D17" s="5" t="s">
        <v>1214</v>
      </c>
      <c r="E17" s="5" t="s">
        <v>1219</v>
      </c>
      <c r="F17" s="5" t="s">
        <v>1216</v>
      </c>
      <c r="G17" s="5"/>
    </row>
    <row r="18" customFormat="false" ht="15" hidden="false" customHeight="false" outlineLevel="0" collapsed="false">
      <c r="A18" s="5" t="s">
        <v>1220</v>
      </c>
      <c r="B18" s="33" t="n">
        <v>80</v>
      </c>
      <c r="C18" s="5" t="s">
        <v>39</v>
      </c>
      <c r="D18" s="5" t="s">
        <v>1221</v>
      </c>
      <c r="E18" s="5" t="s">
        <v>1222</v>
      </c>
      <c r="F18" s="5" t="s">
        <v>1187</v>
      </c>
      <c r="G18" s="5" t="s">
        <v>1223</v>
      </c>
    </row>
    <row r="19" customFormat="false" ht="15" hidden="false" customHeight="false" outlineLevel="0" collapsed="false">
      <c r="A19" s="5" t="s">
        <v>1220</v>
      </c>
      <c r="B19" s="33" t="n">
        <v>45</v>
      </c>
      <c r="C19" s="5" t="s">
        <v>39</v>
      </c>
      <c r="D19" s="5" t="s">
        <v>1224</v>
      </c>
      <c r="E19" s="5" t="s">
        <v>1222</v>
      </c>
      <c r="F19" s="5" t="s">
        <v>1187</v>
      </c>
      <c r="G19" s="5" t="s">
        <v>1225</v>
      </c>
    </row>
    <row r="20" customFormat="false" ht="15" hidden="false" customHeight="false" outlineLevel="0" collapsed="false">
      <c r="A20" s="5" t="s">
        <v>1226</v>
      </c>
      <c r="B20" s="33" t="n">
        <v>45</v>
      </c>
      <c r="C20" s="5" t="s">
        <v>39</v>
      </c>
      <c r="D20" s="5" t="s">
        <v>1227</v>
      </c>
      <c r="E20" s="5" t="s">
        <v>1228</v>
      </c>
      <c r="F20" s="5" t="s">
        <v>1229</v>
      </c>
      <c r="G20" s="5"/>
    </row>
    <row r="21" customFormat="false" ht="15" hidden="false" customHeight="false" outlineLevel="0" collapsed="false">
      <c r="A21" s="5" t="s">
        <v>1230</v>
      </c>
      <c r="B21" s="33" t="n">
        <v>4</v>
      </c>
      <c r="C21" s="5" t="s">
        <v>39</v>
      </c>
      <c r="D21" s="5" t="s">
        <v>1227</v>
      </c>
      <c r="E21" s="5" t="s">
        <v>1228</v>
      </c>
      <c r="F21" s="5" t="s">
        <v>1229</v>
      </c>
      <c r="G21" s="5"/>
    </row>
    <row r="22" customFormat="false" ht="15" hidden="false" customHeight="false" outlineLevel="0" collapsed="false">
      <c r="A22" s="5" t="s">
        <v>1231</v>
      </c>
      <c r="B22" s="33" t="n">
        <v>32</v>
      </c>
      <c r="C22" s="5" t="s">
        <v>39</v>
      </c>
      <c r="D22" s="5" t="s">
        <v>1227</v>
      </c>
      <c r="E22" s="5" t="s">
        <v>1228</v>
      </c>
      <c r="F22" s="5" t="s">
        <v>1229</v>
      </c>
      <c r="G22" s="5" t="s">
        <v>1232</v>
      </c>
    </row>
    <row r="23" customFormat="false" ht="15" hidden="false" customHeight="false" outlineLevel="0" collapsed="false">
      <c r="A23" s="5" t="s">
        <v>1233</v>
      </c>
      <c r="B23" s="33" t="n">
        <v>58</v>
      </c>
      <c r="C23" s="5" t="s">
        <v>39</v>
      </c>
      <c r="D23" s="5" t="s">
        <v>1227</v>
      </c>
      <c r="E23" s="5" t="s">
        <v>1228</v>
      </c>
      <c r="F23" s="5" t="s">
        <v>1229</v>
      </c>
      <c r="G23" s="5"/>
    </row>
    <row r="24" customFormat="false" ht="15" hidden="false" customHeight="false" outlineLevel="0" collapsed="false">
      <c r="A24" s="5" t="s">
        <v>1234</v>
      </c>
      <c r="B24" s="33" t="n">
        <v>23</v>
      </c>
      <c r="C24" s="5" t="s">
        <v>39</v>
      </c>
      <c r="D24" s="5" t="s">
        <v>1227</v>
      </c>
      <c r="E24" s="5" t="s">
        <v>1228</v>
      </c>
      <c r="F24" s="5" t="s">
        <v>1229</v>
      </c>
      <c r="G24" s="5"/>
    </row>
    <row r="25" customFormat="false" ht="15" hidden="false" customHeight="false" outlineLevel="0" collapsed="false">
      <c r="A25" s="5" t="s">
        <v>1235</v>
      </c>
      <c r="B25" s="33" t="n">
        <v>110</v>
      </c>
      <c r="C25" s="5" t="s">
        <v>39</v>
      </c>
      <c r="D25" s="5" t="s">
        <v>1236</v>
      </c>
      <c r="E25" s="5" t="s">
        <v>1186</v>
      </c>
      <c r="F25" s="5" t="s">
        <v>1187</v>
      </c>
      <c r="G25" s="5"/>
    </row>
    <row r="26" customFormat="false" ht="15" hidden="false" customHeight="false" outlineLevel="0" collapsed="false">
      <c r="A26" s="5" t="s">
        <v>1237</v>
      </c>
      <c r="B26" s="33" t="n">
        <v>95</v>
      </c>
      <c r="C26" s="5" t="s">
        <v>39</v>
      </c>
      <c r="D26" s="5" t="s">
        <v>1238</v>
      </c>
      <c r="E26" s="5" t="s">
        <v>1186</v>
      </c>
      <c r="F26" s="5" t="s">
        <v>1187</v>
      </c>
      <c r="G26" s="5"/>
    </row>
    <row r="27" customFormat="false" ht="15" hidden="false" customHeight="false" outlineLevel="0" collapsed="false">
      <c r="A27" s="5" t="s">
        <v>1239</v>
      </c>
      <c r="B27" s="33" t="n">
        <v>95</v>
      </c>
      <c r="C27" s="5" t="s">
        <v>39</v>
      </c>
      <c r="D27" s="5" t="s">
        <v>1190</v>
      </c>
      <c r="E27" s="5" t="s">
        <v>1191</v>
      </c>
      <c r="F27" s="5" t="s">
        <v>1192</v>
      </c>
      <c r="G27" s="5"/>
    </row>
    <row r="28" customFormat="false" ht="15" hidden="false" customHeight="false" outlineLevel="0" collapsed="false">
      <c r="A28" s="5" t="s">
        <v>1240</v>
      </c>
      <c r="B28" s="33" t="n">
        <v>30</v>
      </c>
      <c r="C28" s="5" t="s">
        <v>39</v>
      </c>
      <c r="D28" s="5" t="s">
        <v>1241</v>
      </c>
      <c r="E28" s="5" t="s">
        <v>1242</v>
      </c>
      <c r="F28" s="5" t="s">
        <v>1243</v>
      </c>
      <c r="G28" s="5" t="s">
        <v>1203</v>
      </c>
    </row>
    <row r="29" customFormat="false" ht="15" hidden="false" customHeight="false" outlineLevel="0" collapsed="false">
      <c r="A29" s="5" t="s">
        <v>1244</v>
      </c>
      <c r="B29" s="33" t="n">
        <v>10000</v>
      </c>
      <c r="C29" s="5" t="s">
        <v>34</v>
      </c>
      <c r="D29" s="5" t="s">
        <v>1245</v>
      </c>
      <c r="E29" s="5" t="s">
        <v>1246</v>
      </c>
      <c r="F29" s="5" t="s">
        <v>1247</v>
      </c>
      <c r="G29" s="5" t="s">
        <v>1248</v>
      </c>
    </row>
    <row r="30" customFormat="false" ht="15" hidden="false" customHeight="false" outlineLevel="0" collapsed="false">
      <c r="A30" s="5" t="s">
        <v>1249</v>
      </c>
      <c r="B30" s="33" t="n">
        <v>60</v>
      </c>
      <c r="C30" s="5" t="s">
        <v>39</v>
      </c>
      <c r="D30" s="5" t="s">
        <v>1190</v>
      </c>
      <c r="E30" s="5" t="s">
        <v>1191</v>
      </c>
      <c r="F30" s="5" t="s">
        <v>1192</v>
      </c>
      <c r="G30" s="5"/>
    </row>
    <row r="31" customFormat="false" ht="15" hidden="false" customHeight="false" outlineLevel="0" collapsed="false">
      <c r="A31" s="5" t="s">
        <v>1250</v>
      </c>
      <c r="B31" s="33" t="n">
        <v>100</v>
      </c>
      <c r="C31" s="5" t="s">
        <v>39</v>
      </c>
      <c r="D31" s="5" t="s">
        <v>1251</v>
      </c>
      <c r="E31" s="5" t="s">
        <v>1252</v>
      </c>
      <c r="F31" s="5" t="s">
        <v>1253</v>
      </c>
      <c r="G31" s="5" t="s">
        <v>1254</v>
      </c>
    </row>
    <row r="32" customFormat="false" ht="15" hidden="false" customHeight="false" outlineLevel="0" collapsed="false">
      <c r="A32" s="5" t="s">
        <v>1255</v>
      </c>
      <c r="B32" s="33" t="n">
        <v>160</v>
      </c>
      <c r="C32" s="5" t="s">
        <v>39</v>
      </c>
      <c r="D32" s="5" t="s">
        <v>1185</v>
      </c>
      <c r="E32" s="5" t="s">
        <v>1186</v>
      </c>
      <c r="F32" s="5" t="s">
        <v>1187</v>
      </c>
      <c r="G32" s="5" t="s">
        <v>1256</v>
      </c>
    </row>
    <row r="33" customFormat="false" ht="15" hidden="false" customHeight="false" outlineLevel="0" collapsed="false">
      <c r="A33" s="5" t="s">
        <v>1257</v>
      </c>
      <c r="B33" s="33" t="n">
        <v>195</v>
      </c>
      <c r="C33" s="5" t="s">
        <v>39</v>
      </c>
      <c r="D33" s="5" t="s">
        <v>1245</v>
      </c>
      <c r="E33" s="5" t="s">
        <v>1246</v>
      </c>
      <c r="F33" s="5" t="s">
        <v>1247</v>
      </c>
      <c r="G33" s="5" t="s">
        <v>1248</v>
      </c>
    </row>
    <row r="34" customFormat="false" ht="15" hidden="false" customHeight="false" outlineLevel="0" collapsed="false">
      <c r="A34" s="5" t="s">
        <v>1258</v>
      </c>
      <c r="B34" s="33" t="n">
        <v>55</v>
      </c>
      <c r="C34" s="5" t="s">
        <v>39</v>
      </c>
      <c r="D34" s="5" t="s">
        <v>1185</v>
      </c>
      <c r="E34" s="5" t="s">
        <v>1186</v>
      </c>
      <c r="F34" s="5" t="s">
        <v>1187</v>
      </c>
      <c r="G34" s="5"/>
    </row>
    <row r="35" customFormat="false" ht="15" hidden="false" customHeight="false" outlineLevel="0" collapsed="false">
      <c r="A35" s="5" t="s">
        <v>1259</v>
      </c>
      <c r="B35" s="33" t="n">
        <v>55</v>
      </c>
      <c r="C35" s="5" t="s">
        <v>39</v>
      </c>
      <c r="D35" s="5" t="s">
        <v>1180</v>
      </c>
      <c r="E35" s="5" t="s">
        <v>1181</v>
      </c>
      <c r="F35" s="5" t="s">
        <v>1182</v>
      </c>
      <c r="G35" s="5"/>
    </row>
    <row r="36" customFormat="false" ht="15" hidden="false" customHeight="false" outlineLevel="0" collapsed="false">
      <c r="A36" s="5" t="s">
        <v>1260</v>
      </c>
      <c r="B36" s="33" t="n">
        <v>60</v>
      </c>
      <c r="C36" s="5" t="s">
        <v>39</v>
      </c>
      <c r="D36" s="5" t="s">
        <v>1261</v>
      </c>
      <c r="E36" s="5" t="s">
        <v>1262</v>
      </c>
      <c r="F36" s="5" t="s">
        <v>1182</v>
      </c>
      <c r="G36" s="5" t="s">
        <v>1263</v>
      </c>
    </row>
    <row r="37" customFormat="false" ht="15" hidden="false" customHeight="false" outlineLevel="0" collapsed="false">
      <c r="A37" s="5" t="s">
        <v>1264</v>
      </c>
      <c r="B37" s="33" t="n">
        <v>3500</v>
      </c>
      <c r="C37" s="5" t="s">
        <v>34</v>
      </c>
      <c r="D37" s="5" t="s">
        <v>1265</v>
      </c>
      <c r="E37" s="5" t="s">
        <v>1266</v>
      </c>
      <c r="F37" s="5" t="s">
        <v>1267</v>
      </c>
      <c r="G37" s="5" t="s">
        <v>1268</v>
      </c>
    </row>
    <row r="38" customFormat="false" ht="15" hidden="false" customHeight="false" outlineLevel="0" collapsed="false">
      <c r="A38" s="5" t="s">
        <v>1269</v>
      </c>
      <c r="B38" s="33" t="n">
        <v>4500</v>
      </c>
      <c r="C38" s="5" t="s">
        <v>34</v>
      </c>
      <c r="D38" s="5" t="s">
        <v>1270</v>
      </c>
      <c r="E38" s="5" t="s">
        <v>1271</v>
      </c>
      <c r="F38" s="5" t="s">
        <v>1272</v>
      </c>
      <c r="G38" s="5" t="s">
        <v>1273</v>
      </c>
    </row>
    <row r="39" customFormat="false" ht="15" hidden="false" customHeight="false" outlineLevel="0" collapsed="false">
      <c r="A39" s="5" t="s">
        <v>1274</v>
      </c>
      <c r="B39" s="33" t="n">
        <v>95</v>
      </c>
      <c r="C39" s="5" t="s">
        <v>39</v>
      </c>
      <c r="D39" s="5" t="s">
        <v>1275</v>
      </c>
      <c r="E39" s="5" t="s">
        <v>1276</v>
      </c>
      <c r="F39" s="5" t="s">
        <v>1277</v>
      </c>
      <c r="G39" s="5" t="s">
        <v>1278</v>
      </c>
    </row>
    <row r="40" customFormat="false" ht="15" hidden="false" customHeight="false" outlineLevel="0" collapsed="false">
      <c r="A40" s="5" t="s">
        <v>1279</v>
      </c>
      <c r="B40" s="33" t="n">
        <v>100</v>
      </c>
      <c r="C40" s="5" t="s">
        <v>39</v>
      </c>
      <c r="D40" s="5" t="s">
        <v>1275</v>
      </c>
      <c r="E40" s="5" t="s">
        <v>1276</v>
      </c>
      <c r="F40" s="5" t="s">
        <v>1277</v>
      </c>
      <c r="G40" s="5" t="s">
        <v>1280</v>
      </c>
    </row>
    <row r="41" customFormat="false" ht="15" hidden="false" customHeight="false" outlineLevel="0" collapsed="false">
      <c r="A41" s="5" t="s">
        <v>1281</v>
      </c>
      <c r="B41" s="33" t="n">
        <v>115</v>
      </c>
      <c r="C41" s="5" t="s">
        <v>39</v>
      </c>
      <c r="D41" s="5" t="s">
        <v>1275</v>
      </c>
      <c r="E41" s="5" t="s">
        <v>1276</v>
      </c>
      <c r="F41" s="5" t="s">
        <v>1277</v>
      </c>
      <c r="G41" s="5" t="s">
        <v>1282</v>
      </c>
    </row>
    <row r="42" customFormat="false" ht="15" hidden="false" customHeight="false" outlineLevel="0" collapsed="false">
      <c r="A42" s="5" t="s">
        <v>1283</v>
      </c>
      <c r="B42" s="33" t="n">
        <v>40</v>
      </c>
      <c r="C42" s="5" t="s">
        <v>114</v>
      </c>
      <c r="D42" s="5" t="s">
        <v>1214</v>
      </c>
      <c r="E42" s="5" t="s">
        <v>1219</v>
      </c>
      <c r="F42" s="5" t="s">
        <v>1216</v>
      </c>
      <c r="G42" s="5"/>
    </row>
    <row r="43" customFormat="false" ht="15" hidden="false" customHeight="false" outlineLevel="0" collapsed="false">
      <c r="A43" s="5" t="s">
        <v>1284</v>
      </c>
      <c r="B43" s="33" t="n">
        <v>95</v>
      </c>
      <c r="C43" s="5" t="s">
        <v>114</v>
      </c>
      <c r="D43" s="5" t="s">
        <v>1285</v>
      </c>
      <c r="E43" s="5" t="s">
        <v>1197</v>
      </c>
      <c r="F43" s="5" t="s">
        <v>1286</v>
      </c>
      <c r="G43" s="5" t="s">
        <v>1248</v>
      </c>
    </row>
    <row r="44" customFormat="false" ht="15" hidden="false" customHeight="false" outlineLevel="0" collapsed="false">
      <c r="A44" s="5" t="s">
        <v>1287</v>
      </c>
      <c r="B44" s="33" t="n">
        <v>42.5</v>
      </c>
      <c r="C44" s="5" t="s">
        <v>39</v>
      </c>
      <c r="D44" s="5" t="s">
        <v>1190</v>
      </c>
      <c r="E44" s="5" t="s">
        <v>1191</v>
      </c>
      <c r="F44" s="5" t="s">
        <v>1192</v>
      </c>
      <c r="G44" s="5" t="s">
        <v>1288</v>
      </c>
    </row>
    <row r="45" customFormat="false" ht="15" hidden="false" customHeight="false" outlineLevel="0" collapsed="false">
      <c r="A45" s="5" t="s">
        <v>1289</v>
      </c>
      <c r="B45" s="33" t="n">
        <v>15000</v>
      </c>
      <c r="C45" s="5" t="s">
        <v>34</v>
      </c>
      <c r="D45" s="5" t="s">
        <v>1185</v>
      </c>
      <c r="E45" s="5" t="s">
        <v>1186</v>
      </c>
      <c r="F45" s="5" t="s">
        <v>1187</v>
      </c>
      <c r="G45" s="5"/>
    </row>
    <row r="46" customFormat="false" ht="15" hidden="false" customHeight="false" outlineLevel="0" collapsed="false">
      <c r="A46" s="5" t="s">
        <v>344</v>
      </c>
      <c r="B46" s="33" t="n">
        <v>42000</v>
      </c>
      <c r="C46" s="5" t="s">
        <v>34</v>
      </c>
      <c r="D46" s="5" t="s">
        <v>1185</v>
      </c>
      <c r="E46" s="5" t="s">
        <v>1186</v>
      </c>
      <c r="F46" s="5" t="s">
        <v>1187</v>
      </c>
      <c r="G46" s="5"/>
    </row>
    <row r="47" customFormat="false" ht="15" hidden="false" customHeight="false" outlineLevel="0" collapsed="false">
      <c r="A47" s="5" t="s">
        <v>1290</v>
      </c>
      <c r="B47" s="33" t="n">
        <v>2600</v>
      </c>
      <c r="C47" s="5" t="s">
        <v>1195</v>
      </c>
      <c r="D47" s="5" t="s">
        <v>1196</v>
      </c>
      <c r="E47" s="5" t="s">
        <v>1197</v>
      </c>
      <c r="F47" s="5" t="s">
        <v>1198</v>
      </c>
      <c r="G47" s="5"/>
    </row>
    <row r="48" customFormat="false" ht="15" hidden="false" customHeight="false" outlineLevel="0" collapsed="false">
      <c r="A48" s="5" t="s">
        <v>1291</v>
      </c>
      <c r="B48" s="33" t="n">
        <v>1650</v>
      </c>
      <c r="C48" s="5" t="s">
        <v>1195</v>
      </c>
      <c r="D48" s="5" t="s">
        <v>1196</v>
      </c>
      <c r="E48" s="5" t="s">
        <v>1197</v>
      </c>
      <c r="F48" s="5" t="s">
        <v>1198</v>
      </c>
      <c r="G48" s="5"/>
    </row>
    <row r="49" customFormat="false" ht="15" hidden="false" customHeight="false" outlineLevel="0" collapsed="false">
      <c r="A49" s="5" t="s">
        <v>1292</v>
      </c>
      <c r="B49" s="33" t="n">
        <v>1700</v>
      </c>
      <c r="C49" s="5" t="s">
        <v>1195</v>
      </c>
      <c r="D49" s="5" t="s">
        <v>1245</v>
      </c>
      <c r="E49" s="5" t="s">
        <v>1246</v>
      </c>
      <c r="F49" s="5" t="s">
        <v>1247</v>
      </c>
      <c r="G49" s="5" t="s">
        <v>1293</v>
      </c>
    </row>
    <row r="50" customFormat="false" ht="15" hidden="false" customHeight="false" outlineLevel="0" collapsed="false">
      <c r="A50" s="5" t="s">
        <v>1294</v>
      </c>
      <c r="B50" s="33" t="n">
        <v>450</v>
      </c>
      <c r="C50" s="5" t="s">
        <v>1195</v>
      </c>
      <c r="D50" s="5" t="s">
        <v>1245</v>
      </c>
      <c r="E50" s="5" t="s">
        <v>1246</v>
      </c>
      <c r="F50" s="5" t="s">
        <v>1247</v>
      </c>
      <c r="G50" s="5" t="s">
        <v>1293</v>
      </c>
    </row>
    <row r="51" customFormat="false" ht="15" hidden="false" customHeight="false" outlineLevel="0" collapsed="false">
      <c r="A51" s="5" t="s">
        <v>1295</v>
      </c>
      <c r="B51" s="33" t="n">
        <v>645</v>
      </c>
      <c r="C51" s="5" t="s">
        <v>39</v>
      </c>
      <c r="D51" s="5" t="s">
        <v>1285</v>
      </c>
      <c r="E51" s="5" t="s">
        <v>1197</v>
      </c>
      <c r="F51" s="5" t="s">
        <v>1286</v>
      </c>
      <c r="G51" s="5" t="s">
        <v>1293</v>
      </c>
    </row>
    <row r="52" customFormat="false" ht="15" hidden="false" customHeight="false" outlineLevel="0" collapsed="false">
      <c r="A52" s="5" t="s">
        <v>1296</v>
      </c>
      <c r="B52" s="33" t="n">
        <v>135</v>
      </c>
      <c r="C52" s="5" t="s">
        <v>39</v>
      </c>
      <c r="D52" s="5" t="s">
        <v>1297</v>
      </c>
      <c r="E52" s="5" t="s">
        <v>1197</v>
      </c>
      <c r="F52" s="5" t="s">
        <v>1286</v>
      </c>
      <c r="G52" s="5" t="s">
        <v>1298</v>
      </c>
    </row>
    <row r="53" customFormat="false" ht="15" hidden="false" customHeight="false" outlineLevel="0" collapsed="false">
      <c r="A53" s="5" t="s">
        <v>1299</v>
      </c>
      <c r="B53" s="33" t="n">
        <v>352</v>
      </c>
      <c r="C53" s="5" t="s">
        <v>39</v>
      </c>
      <c r="D53" s="5" t="s">
        <v>1297</v>
      </c>
      <c r="E53" s="5" t="s">
        <v>1197</v>
      </c>
      <c r="F53" s="5" t="s">
        <v>1286</v>
      </c>
      <c r="G53" s="5" t="s">
        <v>1298</v>
      </c>
    </row>
  </sheetData>
  <autoFilter ref="A3:G5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2026-08-31T13:36:38Z</dcterms:created>
  <dc:creator>openpyxl</dc:creator>
  <dc:description/>
  <dc:language>en-US</dc:language>
  <cp:lastModifiedBy/>
  <dcterms:modified xsi:type="dcterms:W3CDTF">2026-08-31T13:36:38Z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